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mpany Overview" sheetId="2" state="visible" r:id="rId4"/>
    <sheet name="Peer Selection" sheetId="3" state="visible" r:id="rId5"/>
    <sheet name="Raw Data" sheetId="4" state="visible" r:id="rId6"/>
    <sheet name="Multiples" sheetId="5" state="visible" r:id="rId7"/>
    <sheet name="Trading Comps" sheetId="6" state="visible" r:id="rId8"/>
    <sheet name="Sensitivity" sheetId="7" state="visible" r:id="rId9"/>
    <sheet name="Football Field" sheetId="8" state="visible" r:id="rId10"/>
    <sheet name="Dashboa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<sst xmlns="http://schemas.openxmlformats.org/spreadsheetml/2006/main" count="294" uniqueCount="246">
  <si>
    <t xml:space="preserve">Chipotle Mexican Grill, Inc. (NYSE: CMG)</t>
  </si>
  <si>
    <t xml:space="preserve">Comparable Companies Analysis (Trading Comps)</t>
  </si>
  <si>
    <t xml:space="preserve">PRIVATE &amp; CONFIDENTIAL — FOR DISCUSSION PURPOSES ONLY</t>
  </si>
  <si>
    <t xml:space="preserve">Prepared for:</t>
  </si>
  <si>
    <t xml:space="preserve">Analyst Training / Portfolio Project</t>
  </si>
  <si>
    <t xml:space="preserve">Prepared by:</t>
  </si>
  <si>
    <t xml:space="preserve">Investment Banking Valuation Group</t>
  </si>
  <si>
    <t xml:space="preserve">Date:</t>
  </si>
  <si>
    <t xml:space="preserve">August 20, 2026</t>
  </si>
  <si>
    <t xml:space="preserve">Ticker / Exchange:</t>
  </si>
  <si>
    <t xml:space="preserve">CMG / NYSE</t>
  </si>
  <si>
    <t xml:space="preserve">Sector:</t>
  </si>
  <si>
    <t xml:space="preserve">Consumer Discretionary — Restaurants (Fast-Casual)</t>
  </si>
  <si>
    <t xml:space="preserve">Contents: Company Overview | Peer Selection | Raw Financial Data | Valuation Multiples | Trading Comps &amp; Valuation | Football Field | Sensitivity | Dashboard</t>
  </si>
  <si>
    <t xml:space="preserve">Data sourcing note: figures in this workbook were compiled from public sources (company filings, earnings releases, and financial data aggregators) as of August 2026 for training/portfolio purposes. In live deal work, all comp data would be pulled from a single terminal (Capital IQ or FactSet) on one snapshot date to ensure consistent accounting treatment across peers. Where source data conflicted, the most internally consistent figures were used and flagged in cell comments. This workbook is illustrative and not a solicitation, recommendation, or offer to buy or sell any security.</t>
  </si>
  <si>
    <t xml:space="preserve">Company Overview — Chipotle Mexican Grill (CMG)</t>
  </si>
  <si>
    <t xml:space="preserve">Part 1: Business, Industry &amp; Investment Thesis</t>
  </si>
  <si>
    <t xml:space="preserve">Key Market Statistics (as of Aug 20, 2026)</t>
  </si>
  <si>
    <t xml:space="preserve">Share Price</t>
  </si>
  <si>
    <t xml:space="preserve">52-Week Range</t>
  </si>
  <si>
    <t xml:space="preserve">$28.04-$43.99</t>
  </si>
  <si>
    <t xml:space="preserve">Shares Outstanding (M)</t>
  </si>
  <si>
    <t xml:space="preserve">Market Capitalization ($M)</t>
  </si>
  <si>
    <t xml:space="preserve">Avg. Analyst Price Target</t>
  </si>
  <si>
    <t xml:space="preserve">Analyst Consensus</t>
  </si>
  <si>
    <t xml:space="preserve">Buy (25B/0S)</t>
  </si>
  <si>
    <t xml:space="preserve">Next Earnings Date</t>
  </si>
  <si>
    <t xml:space="preserve">Oct 28, 2026</t>
  </si>
  <si>
    <t xml:space="preserve">Business Overview</t>
  </si>
  <si>
    <t xml:space="preserve">Business Model</t>
  </si>
  <si>
    <t xml:space="preserve">Predominantly company-operated fast-casual restaurant chain (vs. franchise-royalty peers). ~3,983 US locations, ~104 international units, ~14 licensed Middle East stores (YE 2025).</t>
  </si>
  <si>
    <t xml:space="preserve">Revenue Streams</t>
  </si>
  <si>
    <t xml:space="preserve">In-restaurant food &amp; beverage (~62% of rev.), digital/delivery sales (38.3% of Q2'26 revenue), supplemented by catering.</t>
  </si>
  <si>
    <t xml:space="preserve">Geographic Exposure</t>
  </si>
  <si>
    <t xml:space="preserve">~97%+ US-concentrated; early-stage international expansion (Canada, UK, France, Germany, and new Middle East licensing incl. first Saudi Arabia unit, opened Aug 2026).</t>
  </si>
  <si>
    <t xml:space="preserve">Products</t>
  </si>
  <si>
    <t xml:space="preserve">Burritos, bowls, quesadillas, tacos, salads — narrow menu, 'Responsibly Raised' ingredient positioning.</t>
  </si>
  <si>
    <t xml:space="preserve">Growth Drivers</t>
  </si>
  <si>
    <t xml:space="preserve">350-370 new restaurants planned FY26 (80% w/ Chipotlanes); digital/loyalty penetration; HEAP kitchen automation rollout across 2,000 locations; international licensing optionality.</t>
  </si>
  <si>
    <t xml:space="preserve">Competition</t>
  </si>
  <si>
    <t xml:space="preserve">Fast-casual: CAVA, Sweetgreen, Shake Shack, Dutch Bros. Large-cap QSR: McDonald's, Yum! Brands, Domino's, RBI.</t>
  </si>
  <si>
    <t xml:space="preserve">Key Market Risks</t>
  </si>
  <si>
    <t xml:space="preserve">Recurring food-safety incidents (2026 salmonella/jalapeno outbreak, cyclospora headwind); consumer discretionary sensitivity; restaurant-level margin pressure (-220bps YoY in Q2'26); active securities litigation; premium multiple vulnerable to growth deceleration.</t>
  </si>
  <si>
    <t xml:space="preserve">Macro Factors</t>
  </si>
  <si>
    <t xml:space="preserve">Consumer discretionary spending cycle; beef/protein input cost inflation; CA-heavy labor cost exposure; interest-rate environment (WACC/financing).</t>
  </si>
  <si>
    <t xml:space="preserve">Investment Thesis</t>
  </si>
  <si>
    <t xml:space="preserve">Scaled, high-ROIC growth compounder with long unit-growth runway, trading well off its highs on transient food-safety-driven sentiment. Central valuation question: is the pullback to ~$34 pricing in a genuine reset of the growth/margin trajectory, or a temporary dislocation from a recoverable event?</t>
  </si>
  <si>
    <t xml:space="preserve">Source: Company filings (10-Q, 8-K), earnings call transcripts, and public market data as of Aug 2026 (see Part 1 research memo).</t>
  </si>
  <si>
    <t xml:space="preserve">Peer Selection</t>
  </si>
  <si>
    <t xml:space="preserve">Part 2: Core vs. Reference Tier Comp Set &amp; Rationale</t>
  </si>
  <si>
    <t xml:space="preserve">CORE TIER — Fast-Casual, Predominantly Company-Operated (drives primary valuation)</t>
  </si>
  <si>
    <t xml:space="preserve">Company</t>
  </si>
  <si>
    <t xml:space="preserve">Ticker</t>
  </si>
  <si>
    <t xml:space="preserve">Tier</t>
  </si>
  <si>
    <t xml:space="preserve">Rationale / Key Differences</t>
  </si>
  <si>
    <t xml:space="preserve">CAVA Group</t>
  </si>
  <si>
    <t xml:space="preserve">CAVA</t>
  </si>
  <si>
    <t xml:space="preserve">Core</t>
  </si>
  <si>
    <t xml:space="preserve">Closest structural analog: Mediterranean bowl format, company-operated, digital-forward. Much smaller scale, faster unit growth off small base.</t>
  </si>
  <si>
    <t xml:space="preserve">Sweetgreen</t>
  </si>
  <si>
    <t xml:space="preserve">SG</t>
  </si>
  <si>
    <t xml:space="preserve">Fast-casual healthy format, company-operated, digital-heavy. Weak same-store sales and unit economics; flagged as a statistical outlier candidate (near-zero/negative EBITDA).</t>
  </si>
  <si>
    <t xml:space="preserve">Shake Shack</t>
  </si>
  <si>
    <t xml:space="preserve">SHAK</t>
  </si>
  <si>
    <t xml:space="preserve">Fast-casual, significant company-operated base, premium positioning. Different product category (burgers); rich P/E partly driven by activist involvement (Starboard).</t>
  </si>
  <si>
    <t xml:space="preserve">Dutch Bros</t>
  </si>
  <si>
    <t xml:space="preserve">BROS</t>
  </si>
  <si>
    <t xml:space="preserve">Fast-growing, drive-thru-led format directly analogous to CMG's Chipotlane strategy. Beverage category; partial franchise mix.</t>
  </si>
  <si>
    <t xml:space="preserve">Wingstop</t>
  </si>
  <si>
    <t xml:space="preserve">WING</t>
  </si>
  <si>
    <t xml:space="preserve">Core*</t>
  </si>
  <si>
    <t xml:space="preserve">*95-99% franchised — margin structure closer to Reference tier. Included for growth-multiple context; EXCLUDED from primary EV/EBITDA valuation range (see Trading Comps tab).</t>
  </si>
  <si>
    <t xml:space="preserve">REFERENCE TIER — Large-Cap, Predominantly Franchised QSR (context only)</t>
  </si>
  <si>
    <t xml:space="preserve">McDonald's</t>
  </si>
  <si>
    <t xml:space="preserve">MCD</t>
  </si>
  <si>
    <t xml:space="preserve">Reference</t>
  </si>
  <si>
    <t xml:space="preserve">World's largest restaurant chain by market cap. Asset-light franchise model (~93% franchised) — margin gap vs. CMG is structural, not a performance signal.</t>
  </si>
  <si>
    <t xml:space="preserve">Yum! Brands</t>
  </si>
  <si>
    <t xml:space="preserve">YUM</t>
  </si>
  <si>
    <t xml:space="preserve">KFC/Taco Bell/Pizza Hut/Habit Burger. DILIGENCE FLAG: actively divesting Pizza Hut ($2.7B total); forward financials in transition as of Aug 2026.</t>
  </si>
  <si>
    <t xml:space="preserve">Domino's Pizza</t>
  </si>
  <si>
    <t xml:space="preserve">DPZ</t>
  </si>
  <si>
    <t xml:space="preserve">US franchise model at a premium multiple; currently at decade-low valuation on flat US comps and GLP-1/weight-loss-drug demand concerns.</t>
  </si>
  <si>
    <t xml:space="preserve">Restaurant Brands Int'l</t>
  </si>
  <si>
    <t xml:space="preserve">QSR</t>
  </si>
  <si>
    <t xml:space="preserve">Burger King/Tim Hortons/Popeyes/Firehouse Subs. Hybrid company/franchise model — the 'closest comparable' among large hybrid peers per sell-side research.</t>
  </si>
  <si>
    <t xml:space="preserve">Starbucks</t>
  </si>
  <si>
    <t xml:space="preserve">SBUX</t>
  </si>
  <si>
    <t xml:space="preserve">Global scaled digital/loyalty ecosystem, drive-thru relevance. Currently mid-turnaround — trades at growth-name multiples despite mature scale; treat narrative-adjusted.</t>
  </si>
  <si>
    <t xml:space="preserve">Size / Growth / Margin / Geography / Capital Intensity Summary</t>
  </si>
  <si>
    <t xml:space="preserve">Size</t>
  </si>
  <si>
    <t xml:space="preserve">Core: $2B-$13B mkt cap. Reference: $25B-$195B mkt cap.</t>
  </si>
  <si>
    <t xml:space="preserve">Growth</t>
  </si>
  <si>
    <t xml:space="preserve">Core: 9%-32% revenue growth. Reference: low-to-mid single digits.</t>
  </si>
  <si>
    <t xml:space="preserve">Margins</t>
  </si>
  <si>
    <t xml:space="preserve">Core: 25-30% restaurant-level margin, thinner corporate margin. Reference: 35-45% operating margin (franchise royalty economics).</t>
  </si>
  <si>
    <t xml:space="preserve">Geography</t>
  </si>
  <si>
    <t xml:space="preserve">Core: ~95%+ US-concentrated. Reference: majority international (MCD, YUM especially).</t>
  </si>
  <si>
    <t xml:space="preserve">Business Mix</t>
  </si>
  <si>
    <t xml:space="preserve">Core: predominantly company-operated. Reference: predominantly franchised/asset-light.</t>
  </si>
  <si>
    <t xml:space="preserve">Capital Intensity</t>
  </si>
  <si>
    <t xml:space="preserve">Core: high (new-unit buildout, kitchen equipment capex). Reference: low (franchisees bear buildout capex).</t>
  </si>
  <si>
    <t xml:space="preserve">Raw Financial Data — Core Peer Tier</t>
  </si>
  <si>
    <t xml:space="preserve">Part 3: All $ in millions except per-share and % figures. TTM basis, as of Aug 2026.</t>
  </si>
  <si>
    <t xml:space="preserve">Price</t>
  </si>
  <si>
    <t xml:space="preserve">Shares (M)</t>
  </si>
  <si>
    <t xml:space="preserve">Mkt Cap</t>
  </si>
  <si>
    <t xml:space="preserve">Cash</t>
  </si>
  <si>
    <t xml:space="preserve">Debt</t>
  </si>
  <si>
    <t xml:space="preserve">EV</t>
  </si>
  <si>
    <t xml:space="preserve">Revenue</t>
  </si>
  <si>
    <t xml:space="preserve">EBITDA</t>
  </si>
  <si>
    <t xml:space="preserve">EBIT</t>
  </si>
  <si>
    <t xml:space="preserve">Net Income</t>
  </si>
  <si>
    <t xml:space="preserve">EPS</t>
  </si>
  <si>
    <t xml:space="preserve">ROE</t>
  </si>
  <si>
    <t xml:space="preserve">ROIC</t>
  </si>
  <si>
    <t xml:space="preserve">Fwd EPS Gr.</t>
  </si>
  <si>
    <t xml:space="preserve">Chipotle Mexican Grill</t>
  </si>
  <si>
    <t xml:space="preserve">CMG</t>
  </si>
  <si>
    <t xml:space="preserve">n.m.</t>
  </si>
  <si>
    <t xml:space="preserve">Blue = hardcoded input (compiled from public filings/market data, Aug 2026 pull; see Parts 1-3 memo for sourcing detail). Black = formula. Wingstop ROE/ROIC/cash/debt are estimates (marked for CapIQ verification in live practice).</t>
  </si>
  <si>
    <t xml:space="preserve">Sweetgreen: EBITDA/EBIT/NI shown as negative — TTM figures were near-breakeven/negative across multiple data vendors; excluded from EV/EBITDA statistics on Trading Comps tab as not meaningful (n.m.).</t>
  </si>
  <si>
    <t xml:space="preserve">Reference Tier — Multiples-Only Summary (context; excluded from primary valuation math)</t>
  </si>
  <si>
    <t xml:space="preserve">EV/EBITDA</t>
  </si>
  <si>
    <t xml:space="preserve">P/E</t>
  </si>
  <si>
    <t xml:space="preserve">Reference tier carries multiples only (no EV/cash/debt detail) per project scope decision — see Part 2/3 memo.</t>
  </si>
  <si>
    <t xml:space="preserve">Valuation Multiples — Core Peer Tier</t>
  </si>
  <si>
    <t xml:space="preserve">Part 4: EV/Revenue, EV/EBITDA, EV/EBIT, P/E, P/B, P/S, PEG (all formula-linked to Raw Data)</t>
  </si>
  <si>
    <t xml:space="preserve">EV/Revenue</t>
  </si>
  <si>
    <t xml:space="preserve">EV/EBIT</t>
  </si>
  <si>
    <t xml:space="preserve">P/E (TTM)</t>
  </si>
  <si>
    <t xml:space="preserve">Fwd P/E</t>
  </si>
  <si>
    <t xml:space="preserve">P/B</t>
  </si>
  <si>
    <t xml:space="preserve">P/S</t>
  </si>
  <si>
    <t xml:space="preserve">PEG</t>
  </si>
  <si>
    <t xml:space="preserve">All multiples are formula-linked to the Raw Data tab — changing an input there recalculates every multiple automatically.</t>
  </si>
  <si>
    <t xml:space="preserve">n.m. = not meaningful (negative or near-zero denominator, e.g. Sweetgreen's EBITDA/EBIT/EPS).</t>
  </si>
  <si>
    <t xml:space="preserve">Trading Comps &amp; Valuation</t>
  </si>
  <si>
    <t xml:space="preserve">Parts 5-6: Statistical Summary, Implied Valuation, DCF Cross-Check</t>
  </si>
  <si>
    <t xml:space="preserve">EV/EBITDA Statistics — Core Peers (CMG and Sweetgreen excluded from stats)</t>
  </si>
  <si>
    <t xml:space="preserve">Implied Valuation — Applied to CMG</t>
  </si>
  <si>
    <t xml:space="preserve">CMG TTM EBITDA ($M)</t>
  </si>
  <si>
    <t xml:space="preserve">CMG TTM Revenue ($M)</t>
  </si>
  <si>
    <t xml:space="preserve">CMG Cash ($M)</t>
  </si>
  <si>
    <t xml:space="preserve">CMG Debt ($M)</t>
  </si>
  <si>
    <t xml:space="preserve">CMG Shares Outstanding (M)</t>
  </si>
  <si>
    <t xml:space="preserve">Current Share Price</t>
  </si>
  <si>
    <t xml:space="preserve">Mean</t>
  </si>
  <si>
    <t xml:space="preserve">Scenario B: Full-Set Median (x)</t>
  </si>
  <si>
    <t xml:space="preserve">Median</t>
  </si>
  <si>
    <t xml:space="preserve">Scenario A: Ex-CAVA Median (x)</t>
  </si>
  <si>
    <t xml:space="preserve">25th Percentile</t>
  </si>
  <si>
    <t xml:space="preserve">EV/Revenue Median (x)</t>
  </si>
  <si>
    <t xml:space="preserve">75th Percentile</t>
  </si>
  <si>
    <t xml:space="preserve">Minimum</t>
  </si>
  <si>
    <t xml:space="preserve">Scenario</t>
  </si>
  <si>
    <t xml:space="preserve">Implied Price</t>
  </si>
  <si>
    <t xml:space="preserve">Maximum</t>
  </si>
  <si>
    <t xml:space="preserve">Scenario A (Ex-CAVA Median, EV/EBITDA)</t>
  </si>
  <si>
    <t xml:space="preserve">Standard Deviation</t>
  </si>
  <si>
    <t xml:space="preserve">Scenario B (Full-Set Median, EV/EBITDA)</t>
  </si>
  <si>
    <t xml:space="preserve">EV/Revenue Cross-Check</t>
  </si>
  <si>
    <t xml:space="preserve">Note: Sweetgreen shows 'n.m.' (text) in the EV/EBITDA column above — Excel's AVERAGE/MEDIAN/QUARTILE/STDEV functions</t>
  </si>
  <si>
    <t xml:space="preserve">automatically ignore text values, so it is excluded from these statistics without needing a separate range (see Part 5 memo).</t>
  </si>
  <si>
    <t xml:space="preserve">Implied Premium / (Discount) to Current Price</t>
  </si>
  <si>
    <t xml:space="preserve">Scenario Median — Excluding CAVA (growth outlier, per Part 5 judgment call)</t>
  </si>
  <si>
    <t xml:space="preserve">Ex-CAVA Median EV/EBITDA (SHAK, BROS avg)</t>
  </si>
  <si>
    <t xml:space="preserve">Illustrative 2-name ex-CAVA average per Part 5 discussion; full ex-CAVA peer set would use SHAK+BROS+WING if WING were included.</t>
  </si>
  <si>
    <t xml:space="preserve">EV/Revenue Statistics — Core Peers incl. Sweetgreen (secondary cross-check)</t>
  </si>
  <si>
    <t xml:space="preserve">Median EV/Revenue</t>
  </si>
  <si>
    <t xml:space="preserve">DCF Cross-Check — Simplified 5-Year Unlevered FCF (all $M unless noted)</t>
  </si>
  <si>
    <t xml:space="preserve">Assumptions:</t>
  </si>
  <si>
    <t xml:space="preserve">WACC</t>
  </si>
  <si>
    <t xml:space="preserve">Terminal Growth Rate</t>
  </si>
  <si>
    <t xml:space="preserve">Tax Rate</t>
  </si>
  <si>
    <t xml:space="preserve">Capex (% of Revenue)</t>
  </si>
  <si>
    <t xml:space="preserve">D&amp;A (% of Revenue)</t>
  </si>
  <si>
    <t xml:space="preserve">NWC Drag ($M/yr)</t>
  </si>
  <si>
    <t xml:space="preserve">($M)</t>
  </si>
  <si>
    <t xml:space="preserve">Y1</t>
  </si>
  <si>
    <t xml:space="preserve">Y2</t>
  </si>
  <si>
    <t xml:space="preserve">Y3</t>
  </si>
  <si>
    <t xml:space="preserve">Y4</t>
  </si>
  <si>
    <t xml:space="preserve">Y5</t>
  </si>
  <si>
    <t xml:space="preserve">Revenue Growth %</t>
  </si>
  <si>
    <t xml:space="preserve">EBITDA Margin %</t>
  </si>
  <si>
    <t xml:space="preserve">Less: D&amp;A</t>
  </si>
  <si>
    <t xml:space="preserve">Less: Taxes</t>
  </si>
  <si>
    <t xml:space="preserve">NOPAT</t>
  </si>
  <si>
    <t xml:space="preserve">Plus: D&amp;A</t>
  </si>
  <si>
    <t xml:space="preserve">Less: Capex</t>
  </si>
  <si>
    <t xml:space="preserve">Less: NWC Drag</t>
  </si>
  <si>
    <t xml:space="preserve">Unlevered FCF</t>
  </si>
  <si>
    <t xml:space="preserve">Discount Period</t>
  </si>
  <si>
    <t xml:space="preserve">PV of FCF</t>
  </si>
  <si>
    <t xml:space="preserve">Sum of PV (Explicit Period)</t>
  </si>
  <si>
    <t xml:space="preserve">Terminal Value (Gordon Growth)</t>
  </si>
  <si>
    <t xml:space="preserve">PV of Terminal Value</t>
  </si>
  <si>
    <t xml:space="preserve">Implied Enterprise Value (DCF)</t>
  </si>
  <si>
    <t xml:space="preserve">Implied Equity Value (DCF)</t>
  </si>
  <si>
    <t xml:space="preserve">Implied Share Price (DCF)</t>
  </si>
  <si>
    <t xml:space="preserve">Valuation Reconciliation</t>
  </si>
  <si>
    <t xml:space="preserve">Method</t>
  </si>
  <si>
    <t xml:space="preserve">Implied Share Price</t>
  </si>
  <si>
    <t xml:space="preserve">Current Market Price</t>
  </si>
  <si>
    <t xml:space="preserve">DCF (base case)</t>
  </si>
  <si>
    <t xml:space="preserve">Comps - Scenario A (Ex-CAVA median EV/EBITDA)</t>
  </si>
  <si>
    <t xml:space="preserve">Comps - EV/Revenue cross-check</t>
  </si>
  <si>
    <t xml:space="preserve">Comps - Scenario B (Full-set median EV/EBITDA)</t>
  </si>
  <si>
    <t xml:space="preserve">Reconciliation read: the comps range (~$37-$65, driven by Scenario A/EV-Revenue at the low end and the CAVA-inclusive Scenario B at the high end) sits above both the current market price and the DCF base case, reflecting CMG's superior ROE/ROIC vs. Core peers (Part 3) not yet being fully re-rated by the market post food-safety headlines. The DCF's conservative output is driven largely by a flat 8%-of-revenue capex assumption; a fuller model would likely narrow this gap. Recommended target range: $37-$45 (blending the DCF bull case, Scenario A, and the EV/Revenue cross-check while treating Scenario B as an upside case), implying roughly 8%-30% upside, contingent on the food-safety overhang proving transient rather than structural.</t>
  </si>
  <si>
    <t xml:space="preserve">Sensitivity Analysis</t>
  </si>
  <si>
    <t xml:space="preserve">DCF Implied Share Price — WACC vs. Terminal Growth Rate</t>
  </si>
  <si>
    <t xml:space="preserve">Implied Share Price Grid ($) — each cell independently formula-derived from the DCF build</t>
  </si>
  <si>
    <t xml:space="preserve">WACC \ Term. Growth</t>
  </si>
  <si>
    <t xml:space="preserve">Yellow cell = base-case assumption (9.0% WACC / 3.0% terminal growth), matching the Trading Comps DCF build.</t>
  </si>
  <si>
    <t xml:space="preserve">Each grid cell independently discounts the same 5-year unlevered FCF stream from the Trading Comps tab at the row's WACC</t>
  </si>
  <si>
    <t xml:space="preserve">and column's terminal growth rate — changing the DCF assumptions on Trading Comps flows through to every cell here automatically.</t>
  </si>
  <si>
    <t xml:space="preserve">Key Takeaway</t>
  </si>
  <si>
    <t xml:space="preserve">Even at the most favorable corner of this grid (8.0% WACC / 3.5% terminal growth), the DCF implied price remains well below the comps-implied range of $41-$65, reinforcing that the valuation gap identified in Part 6 is driven by structural modeling assumptions (capex intensity held flat) rather than by a narrow, easily-resolved discount-rate debate.</t>
  </si>
  <si>
    <t xml:space="preserve">Football Field Valuation</t>
  </si>
  <si>
    <t xml:space="preserve">Part 8: Valuation Range Summary Across Methodologies</t>
  </si>
  <si>
    <t xml:space="preserve">Valuation Range Data (Low / High, $ per share)</t>
  </si>
  <si>
    <t xml:space="preserve">Methodology</t>
  </si>
  <si>
    <t xml:space="preserve">Low</t>
  </si>
  <si>
    <t xml:space="preserve">High</t>
  </si>
  <si>
    <t xml:space="preserve">Range (High-Low)</t>
  </si>
  <si>
    <t xml:space="preserve">52-Week Trading Range</t>
  </si>
  <si>
    <t xml:space="preserve">Historical Trading Range (1-Yr Avg +/-10%)</t>
  </si>
  <si>
    <t xml:space="preserve">DCF Valuation (Sensitivity Grid)</t>
  </si>
  <si>
    <t xml:space="preserve">Comparable Companies (Core Peer EV/EBITDA)</t>
  </si>
  <si>
    <t xml:space="preserve">Analyst Price Targets (Low/High)</t>
  </si>
  <si>
    <t xml:space="preserve">Current Share Price (point marker)</t>
  </si>
  <si>
    <t xml:space="preserve">Chart below uses a stacked-bar technique: an invisible base series (= Low) plus a visible series (= High-Low range),</t>
  </si>
  <si>
    <t xml:space="preserve">the standard method for building football-field bar charts in Excel. Current price is overlaid as a single-point marker.</t>
  </si>
  <si>
    <t xml:space="preserve">CMG Trading Comps — Executive Dashboard</t>
  </si>
  <si>
    <t xml:space="preserve">Comparable Companies Analysis | Prepared Aug 2026</t>
  </si>
  <si>
    <t xml:space="preserve">Current Price</t>
  </si>
  <si>
    <t xml:space="preserve">Recommended Target Range</t>
  </si>
  <si>
    <t xml:space="preserve">Implied Upside (midpoint)</t>
  </si>
  <si>
    <t xml:space="preserve">Avg. Analyst Target</t>
  </si>
  <si>
    <t xml:space="preserve">$37 - $45</t>
  </si>
  <si>
    <t xml:space="preserve">Buy</t>
  </si>
  <si>
    <t xml:space="preserve">EV/EBITDA — CMG vs. Core Peer Set</t>
  </si>
  <si>
    <t xml:space="preserve">Investment Recommendation Summary</t>
  </si>
  <si>
    <t xml:space="preserve">CMG trades at a premium EV/EBITDA multiple (19.2x) above the low end of its Core fast-casual peer set but well below the peer median (~34.9x) once high-growth outlier CAVA is included. Superior ROE (49.2%) and ROIC (21.5%) relative to every Core peer support a premium valuation. Current price reflects a discount tied to transient food-safety headlines (2026 salmonella/cyclospora incidents) and decelerating comps rather than a structural deterioration in unit economics. Recommended target range: $37-$45, implying roughly 8%-30% upside — consistent with Buy-side analyst consensus ($43.80 average target). Key risk: recurrence or escalation of food-safety issues could further compress the multiple and validate the more conservative DCF-implied valuation instead.</t>
  </si>
</sst>
</file>

<file path=xl/styles.xml><?xml version="1.0" encoding="utf-8"?>
<styleSheet xmlns="http://schemas.openxmlformats.org/spreadsheetml/2006/main">
  <numFmts count="8">
    <numFmt numFmtId="164" formatCode="General"/>
    <numFmt numFmtId="165" formatCode="\$#,##0.00;&quot;($&quot;#,##0.00\);\-"/>
    <numFmt numFmtId="166" formatCode="#,##0"/>
    <numFmt numFmtId="167" formatCode="\$#,##0;&quot;($&quot;#,##0\);\-"/>
    <numFmt numFmtId="168" formatCode="#,##0.0"/>
    <numFmt numFmtId="169" formatCode="0.0%"/>
    <numFmt numFmtId="170" formatCode="0.0\x"/>
    <numFmt numFmtId="171" formatCode="0.00"/>
  </numFmts>
  <fonts count="22">
    <font>
      <sz val="11"/>
      <color theme="1"/>
      <name val="Calibri"/>
      <family val="2"/>
      <charset val="1"/>
    </font>
    <font>
      <sz val="10"/>
      <name val="Arial"/>
      <family val="0"/>
    </font>
    <font>
      <sz val="10"/>
      <name val="Arial"/>
      <family val="0"/>
    </font>
    <font>
      <sz val="10"/>
      <name val="Arial"/>
      <family val="0"/>
    </font>
    <font>
      <b val="true"/>
      <sz val="22"/>
      <color rgb="FF1F3864"/>
      <name val="Arial"/>
      <family val="0"/>
      <charset val="1"/>
    </font>
    <font>
      <sz val="14"/>
      <color rgb="FF595959"/>
      <name val="Arial"/>
      <family val="0"/>
      <charset val="1"/>
    </font>
    <font>
      <b val="true"/>
      <sz val="9"/>
      <color rgb="FFC00000"/>
      <name val="Arial"/>
      <family val="0"/>
      <charset val="1"/>
    </font>
    <font>
      <b val="true"/>
      <sz val="10"/>
      <name val="Arial"/>
      <family val="0"/>
      <charset val="1"/>
    </font>
    <font>
      <sz val="10"/>
      <color rgb="FF000000"/>
      <name val="Arial"/>
      <family val="0"/>
      <charset val="1"/>
    </font>
    <font>
      <i val="true"/>
      <sz val="10"/>
      <name val="Arial"/>
      <family val="0"/>
      <charset val="1"/>
    </font>
    <font>
      <i val="true"/>
      <sz val="9"/>
      <color rgb="FF808080"/>
      <name val="Arial"/>
      <family val="0"/>
      <charset val="1"/>
    </font>
    <font>
      <b val="true"/>
      <sz val="16"/>
      <color rgb="FF1F3864"/>
      <name val="Arial"/>
      <family val="0"/>
      <charset val="1"/>
    </font>
    <font>
      <i val="true"/>
      <sz val="11"/>
      <color rgb="FF595959"/>
      <name val="Arial"/>
      <family val="0"/>
      <charset val="1"/>
    </font>
    <font>
      <b val="true"/>
      <sz val="12"/>
      <color rgb="FFFFFFFF"/>
      <name val="Arial"/>
      <family val="0"/>
      <charset val="1"/>
    </font>
    <font>
      <sz val="10"/>
      <color rgb="FF0000FF"/>
      <name val="Arial"/>
      <family val="0"/>
      <charset val="1"/>
    </font>
    <font>
      <b val="true"/>
      <sz val="11"/>
      <color rgb="FFFFFFFF"/>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1F3864"/>
      <name val="Arial"/>
      <family val="0"/>
      <charset val="1"/>
    </font>
    <font>
      <b val="true"/>
      <sz val="16"/>
      <color rgb="FF008000"/>
      <name val="Arial"/>
      <family val="0"/>
      <charset val="1"/>
    </font>
  </fonts>
  <fills count="7">
    <fill>
      <patternFill patternType="none"/>
    </fill>
    <fill>
      <patternFill patternType="gray125"/>
    </fill>
    <fill>
      <patternFill patternType="solid">
        <fgColor rgb="FF2E5395"/>
        <bgColor rgb="FF1F3864"/>
      </patternFill>
    </fill>
    <fill>
      <patternFill patternType="solid">
        <fgColor rgb="FF1F3864"/>
        <bgColor rgb="FF333333"/>
      </patternFill>
    </fill>
    <fill>
      <patternFill patternType="solid">
        <fgColor rgb="FFDCE6F1"/>
        <bgColor rgb="FFD9D9D9"/>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1"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70" fontId="16" fillId="0" borderId="1" xfId="0" applyFont="true" applyBorder="true" applyAlignment="false" applyProtection="false">
      <alignment horizontal="general" vertical="bottom" textRotation="0" wrapText="false" indent="0" shrinkToFit="false"/>
      <protection locked="true" hidden="false"/>
    </xf>
    <xf numFmtId="171" fontId="16"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CMG Football Field Valuation ($ per Share)</a:t>
            </a:r>
          </a:p>
        </c:rich>
      </c:tx>
      <c:overlay val="0"/>
      <c:spPr>
        <a:noFill/>
        <a:ln w="0">
          <a:noFill/>
        </a:ln>
      </c:spPr>
    </c:title>
    <c:autoTitleDeleted val="0"/>
    <c:plotArea>
      <c:barChart>
        <c:barDir val="bar"/>
        <c:grouping val="stacked"/>
        <c:varyColors val="0"/>
        <c:ser>
          <c:idx val="0"/>
          <c:order val="0"/>
          <c:tx>
            <c:strRef>
              <c:f>'Football Field'!C5</c:f>
              <c:strCache>
                <c:ptCount val="1"/>
                <c:pt idx="0">
                  <c:v>Low</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Field'!$B$6:$B$11</c:f>
              <c:strCache>
                <c:ptCount val="6"/>
                <c:pt idx="0">
                  <c:v>52-Week Trading Range</c:v>
                </c:pt>
                <c:pt idx="1">
                  <c:v>Historical Trading Range (1-Yr Avg +/-10%)</c:v>
                </c:pt>
                <c:pt idx="2">
                  <c:v>DCF Valuation (Sensitivity Grid)</c:v>
                </c:pt>
                <c:pt idx="3">
                  <c:v>Comparable Companies (Core Peer EV/EBITDA)</c:v>
                </c:pt>
                <c:pt idx="4">
                  <c:v>Analyst Price Targets (Low/High)</c:v>
                </c:pt>
                <c:pt idx="5">
                  <c:v>Current Share Price (point marker)</c:v>
                </c:pt>
              </c:strCache>
            </c:strRef>
          </c:cat>
          <c:val>
            <c:numRef>
              <c:f>'Football Field'!$C$6:$C$11</c:f>
              <c:numCache>
                <c:formatCode>\$#,##0.00;"($"#,##0.00\);\-</c:formatCode>
                <c:ptCount val="6"/>
                <c:pt idx="0">
                  <c:v>28.04</c:v>
                </c:pt>
                <c:pt idx="1">
                  <c:v>30.9</c:v>
                </c:pt>
                <c:pt idx="2">
                  <c:v>9.6</c:v>
                </c:pt>
                <c:pt idx="3">
                  <c:v>36.5908610372341</c:v>
                </c:pt>
                <c:pt idx="4">
                  <c:v>32</c:v>
                </c:pt>
                <c:pt idx="5">
                  <c:v>34.33</c:v>
                </c:pt>
              </c:numCache>
            </c:numRef>
          </c:val>
        </c:ser>
        <c:ser>
          <c:idx val="1"/>
          <c:order val="1"/>
          <c:tx>
            <c:strRef>
              <c:f>'Football Field'!E5</c:f>
              <c:strCache>
                <c:ptCount val="1"/>
                <c:pt idx="0">
                  <c:v>Range (High-Low)</c:v>
                </c:pt>
              </c:strCache>
            </c:strRef>
          </c:tx>
          <c:spPr>
            <a:solidFill>
              <a:srgbClr val="2e539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Field'!$B$6:$B$11</c:f>
              <c:strCache>
                <c:ptCount val="6"/>
                <c:pt idx="0">
                  <c:v>52-Week Trading Range</c:v>
                </c:pt>
                <c:pt idx="1">
                  <c:v>Historical Trading Range (1-Yr Avg +/-10%)</c:v>
                </c:pt>
                <c:pt idx="2">
                  <c:v>DCF Valuation (Sensitivity Grid)</c:v>
                </c:pt>
                <c:pt idx="3">
                  <c:v>Comparable Companies (Core Peer EV/EBITDA)</c:v>
                </c:pt>
                <c:pt idx="4">
                  <c:v>Analyst Price Targets (Low/High)</c:v>
                </c:pt>
                <c:pt idx="5">
                  <c:v>Current Share Price (point marker)</c:v>
                </c:pt>
              </c:strCache>
            </c:strRef>
          </c:cat>
          <c:val>
            <c:numRef>
              <c:f>'Football Field'!$E$6:$E$11</c:f>
              <c:numCache>
                <c:formatCode>\$#,##0.00;"($"#,##0.00\);\-</c:formatCode>
                <c:ptCount val="6"/>
                <c:pt idx="0">
                  <c:v>15.95</c:v>
                </c:pt>
                <c:pt idx="1">
                  <c:v>6.86</c:v>
                </c:pt>
                <c:pt idx="2">
                  <c:v>15.55</c:v>
                </c:pt>
                <c:pt idx="3">
                  <c:v>28.1830134250083</c:v>
                </c:pt>
                <c:pt idx="4">
                  <c:v>23</c:v>
                </c:pt>
                <c:pt idx="5">
                  <c:v>0</c:v>
                </c:pt>
              </c:numCache>
            </c:numRef>
          </c:val>
        </c:ser>
        <c:gapWidth val="150"/>
        <c:overlap val="100"/>
        <c:axId val="61645536"/>
        <c:axId val="25850929"/>
      </c:barChart>
      <c:catAx>
        <c:axId val="61645536"/>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Implied Share Price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850929"/>
        <c:crosses val="autoZero"/>
        <c:auto val="1"/>
        <c:lblAlgn val="ctr"/>
        <c:lblOffset val="100"/>
        <c:noMultiLvlLbl val="0"/>
      </c:catAx>
      <c:valAx>
        <c:axId val="25850929"/>
        <c:scaling>
          <c:orientation val="minMax"/>
        </c:scaling>
        <c:delete val="0"/>
        <c:axPos val="l"/>
        <c:majorGridlines>
          <c:spPr>
            <a:ln w="9360">
              <a:solidFill>
                <a:srgbClr val="878787"/>
              </a:solidFill>
              <a:round/>
            </a:ln>
          </c:spPr>
        </c:majorGridlines>
        <c:numFmt formatCode="\$#,##0.00;&quot;($&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6455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EV/EBITDA by Company</a:t>
            </a:r>
          </a:p>
        </c:rich>
      </c:tx>
      <c:overlay val="0"/>
      <c:spPr>
        <a:noFill/>
        <a:ln w="0">
          <a:noFill/>
        </a:ln>
      </c:spPr>
    </c:title>
    <c:autoTitleDeleted val="0"/>
    <c:plotArea>
      <c:barChart>
        <c:barDir val="col"/>
        <c:grouping val="clustered"/>
        <c:varyColors val="0"/>
        <c:ser>
          <c:idx val="0"/>
          <c:order val="0"/>
          <c:tx>
            <c:strRef>
              <c:f>Dashboard!C10</c:f>
              <c:strCache>
                <c:ptCount val="1"/>
                <c:pt idx="0">
                  <c:v>EV/EBITDA</c:v>
                </c:pt>
              </c:strCache>
            </c:strRef>
          </c:tx>
          <c:spPr>
            <a:solidFill>
              <a:srgbClr val="2e539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Dashboard!$B$11:$B$16</c:f>
              <c:strCache>
                <c:ptCount val="6"/>
                <c:pt idx="0">
                  <c:v>Chipotle Mexican Grill</c:v>
                </c:pt>
                <c:pt idx="1">
                  <c:v>CAVA Group</c:v>
                </c:pt>
                <c:pt idx="2">
                  <c:v>Sweetgreen</c:v>
                </c:pt>
                <c:pt idx="3">
                  <c:v>Shake Shack</c:v>
                </c:pt>
                <c:pt idx="4">
                  <c:v>Dutch Bros</c:v>
                </c:pt>
                <c:pt idx="5">
                  <c:v>Wingstop</c:v>
                </c:pt>
              </c:strCache>
            </c:strRef>
          </c:cat>
          <c:val>
            <c:numRef>
              <c:f>Dashboard!$C$11:$C$16</c:f>
              <c:numCache>
                <c:formatCode>0.0\x</c:formatCode>
                <c:ptCount val="6"/>
                <c:pt idx="0">
                  <c:v>19.32856</c:v>
                </c:pt>
                <c:pt idx="1">
                  <c:v>53.2698630136986</c:v>
                </c:pt>
                <c:pt idx="2">
                  <c:v>0</c:v>
                </c:pt>
                <c:pt idx="3">
                  <c:v>9.65466101694915</c:v>
                </c:pt>
                <c:pt idx="4">
                  <c:v>32.5006289308176</c:v>
                </c:pt>
                <c:pt idx="5">
                  <c:v>37.3310185185185</c:v>
                </c:pt>
              </c:numCache>
            </c:numRef>
          </c:val>
        </c:ser>
        <c:gapWidth val="150"/>
        <c:overlap val="0"/>
        <c:axId val="43213395"/>
        <c:axId val="76468561"/>
      </c:barChart>
      <c:catAx>
        <c:axId val="432133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468561"/>
        <c:crosses val="autoZero"/>
        <c:auto val="1"/>
        <c:lblAlgn val="ctr"/>
        <c:lblOffset val="100"/>
        <c:noMultiLvlLbl val="0"/>
      </c:catAx>
      <c:valAx>
        <c:axId val="764685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EV/EBITDA (x)</a:t>
                </a:r>
              </a:p>
            </c:rich>
          </c:tx>
          <c:overlay val="0"/>
          <c:spPr>
            <a:noFill/>
            <a:ln w="0">
              <a:noFill/>
            </a:ln>
          </c:spPr>
        </c:title>
        <c:numFmt formatCode="0.0\x"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2133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131040</xdr:rowOff>
    </xdr:from>
    <xdr:to>
      <xdr:col>13</xdr:col>
      <xdr:colOff>257760</xdr:colOff>
      <xdr:row>33</xdr:row>
      <xdr:rowOff>111240</xdr:rowOff>
    </xdr:to>
    <xdr:graphicFrame>
      <xdr:nvGraphicFramePr>
        <xdr:cNvPr id="0" name="Chart 1"/>
        <xdr:cNvGraphicFramePr/>
      </xdr:nvGraphicFramePr>
      <xdr:xfrm>
        <a:off x="141120" y="294336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8</xdr:row>
      <xdr:rowOff>186480</xdr:rowOff>
    </xdr:from>
    <xdr:to>
      <xdr:col>11</xdr:col>
      <xdr:colOff>423720</xdr:colOff>
      <xdr:row>25</xdr:row>
      <xdr:rowOff>101880</xdr:rowOff>
    </xdr:to>
    <xdr:graphicFrame>
      <xdr:nvGraphicFramePr>
        <xdr:cNvPr id="1" name="Chart 1"/>
        <xdr:cNvGraphicFramePr/>
      </xdr:nvGraphicFramePr>
      <xdr:xfrm>
        <a:off x="3665160" y="19144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E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4" min="2" style="0" width="34"/>
    <col collapsed="false" customWidth="true" hidden="false" outlineLevel="0" max="5" min="5" style="0" width="20"/>
  </cols>
  <sheetData>
    <row r="3" customFormat="false" ht="26.8" hidden="false" customHeight="false" outlineLevel="0" collapsed="false">
      <c r="B3" s="1" t="s">
        <v>0</v>
      </c>
      <c r="C3" s="1"/>
      <c r="D3" s="1"/>
      <c r="E3" s="1"/>
    </row>
    <row r="4" customFormat="false" ht="17.35" hidden="false" customHeight="false" outlineLevel="0" collapsed="false">
      <c r="B4" s="2" t="s">
        <v>1</v>
      </c>
      <c r="C4" s="2"/>
      <c r="D4" s="2"/>
      <c r="E4" s="2"/>
    </row>
    <row r="6" customFormat="false" ht="15" hidden="false" customHeight="false" outlineLevel="0" collapsed="false">
      <c r="B6" s="3" t="s">
        <v>2</v>
      </c>
      <c r="C6" s="3"/>
      <c r="D6" s="3"/>
      <c r="E6" s="3"/>
    </row>
    <row r="9" customFormat="false" ht="15" hidden="false" customHeight="false" outlineLevel="0" collapsed="false">
      <c r="B9" s="4" t="s">
        <v>3</v>
      </c>
      <c r="C9" s="5" t="s">
        <v>4</v>
      </c>
    </row>
    <row r="10" customFormat="false" ht="15" hidden="false" customHeight="false" outlineLevel="0" collapsed="false">
      <c r="B10" s="4" t="s">
        <v>5</v>
      </c>
      <c r="C10" s="5" t="s">
        <v>6</v>
      </c>
    </row>
    <row r="11" customFormat="false" ht="15" hidden="false" customHeight="false" outlineLevel="0" collapsed="false">
      <c r="B11" s="4" t="s">
        <v>7</v>
      </c>
      <c r="C11" s="5" t="s">
        <v>8</v>
      </c>
    </row>
    <row r="12" customFormat="false" ht="15" hidden="false" customHeight="false" outlineLevel="0" collapsed="false">
      <c r="B12" s="4" t="s">
        <v>9</v>
      </c>
      <c r="C12" s="5" t="s">
        <v>10</v>
      </c>
    </row>
    <row r="13" customFormat="false" ht="15" hidden="false" customHeight="false" outlineLevel="0" collapsed="false">
      <c r="B13" s="4" t="s">
        <v>11</v>
      </c>
      <c r="C13" s="5" t="s">
        <v>12</v>
      </c>
    </row>
    <row r="15" customFormat="false" ht="30" hidden="false" customHeight="true" outlineLevel="0" collapsed="false">
      <c r="B15" s="6" t="s">
        <v>13</v>
      </c>
      <c r="C15" s="6"/>
      <c r="D15" s="6"/>
      <c r="E15" s="6"/>
    </row>
    <row r="17" customFormat="false" ht="15" hidden="false" customHeight="true" outlineLevel="0" collapsed="false">
      <c r="B17" s="7" t="s">
        <v>14</v>
      </c>
      <c r="C17" s="7"/>
      <c r="D17" s="7"/>
      <c r="E17" s="7"/>
    </row>
    <row r="18" customFormat="false" ht="15" hidden="false" customHeight="false" outlineLevel="0" collapsed="false">
      <c r="B18" s="7"/>
      <c r="C18" s="7"/>
      <c r="D18" s="7"/>
      <c r="E18" s="7"/>
    </row>
    <row r="19" customFormat="false" ht="15" hidden="false" customHeight="false" outlineLevel="0" collapsed="false">
      <c r="B19" s="7"/>
      <c r="C19" s="7"/>
      <c r="D19" s="7"/>
      <c r="E19" s="7"/>
    </row>
    <row r="20" customFormat="false" ht="15" hidden="false" customHeight="false" outlineLevel="0" collapsed="false">
      <c r="B20" s="7"/>
      <c r="C20" s="7"/>
      <c r="D20" s="7"/>
      <c r="E20" s="7"/>
    </row>
    <row r="21" customFormat="false" ht="15" hidden="false" customHeight="false" outlineLevel="0" collapsed="false">
      <c r="B21" s="7"/>
      <c r="C21" s="7"/>
      <c r="D21" s="7"/>
      <c r="E21" s="7"/>
    </row>
  </sheetData>
  <mergeCells count="5">
    <mergeCell ref="B3:E3"/>
    <mergeCell ref="B4:E4"/>
    <mergeCell ref="B6:E6"/>
    <mergeCell ref="B15:E15"/>
    <mergeCell ref="B17: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6"/>
    <col collapsed="false" customWidth="true" hidden="false" outlineLevel="0" max="4" min="4" style="0" width="3"/>
    <col collapsed="false" customWidth="true" hidden="false" outlineLevel="0" max="5" min="5" style="0" width="30"/>
    <col collapsed="false" customWidth="true" hidden="false" outlineLevel="0" max="6" min="6" style="0" width="60"/>
  </cols>
  <sheetData>
    <row r="1" customFormat="false" ht="19.7" hidden="false" customHeight="false" outlineLevel="0" collapsed="false">
      <c r="A1" s="8" t="s">
        <v>15</v>
      </c>
    </row>
    <row r="2" customFormat="false" ht="15" hidden="false" customHeight="false" outlineLevel="0" collapsed="false">
      <c r="A2" s="9" t="s">
        <v>16</v>
      </c>
    </row>
    <row r="4" customFormat="false" ht="21.75" hidden="false" customHeight="true" outlineLevel="0" collapsed="false">
      <c r="B4" s="10" t="s">
        <v>17</v>
      </c>
      <c r="C4" s="10"/>
      <c r="D4" s="10"/>
      <c r="E4" s="10"/>
      <c r="F4" s="10"/>
    </row>
    <row r="5" customFormat="false" ht="15" hidden="false" customHeight="false" outlineLevel="0" collapsed="false">
      <c r="B5" s="4" t="s">
        <v>18</v>
      </c>
      <c r="C5" s="11" t="n">
        <v>34.33</v>
      </c>
    </row>
    <row r="6" customFormat="false" ht="15" hidden="false" customHeight="false" outlineLevel="0" collapsed="false">
      <c r="B6" s="4" t="s">
        <v>19</v>
      </c>
      <c r="C6" s="12" t="s">
        <v>20</v>
      </c>
    </row>
    <row r="7" customFormat="false" ht="15" hidden="false" customHeight="false" outlineLevel="0" collapsed="false">
      <c r="B7" s="4" t="s">
        <v>21</v>
      </c>
      <c r="C7" s="13" t="n">
        <v>1280</v>
      </c>
    </row>
    <row r="8" customFormat="false" ht="15" hidden="false" customHeight="false" outlineLevel="0" collapsed="false">
      <c r="B8" s="4" t="s">
        <v>22</v>
      </c>
      <c r="C8" s="14" t="n">
        <f aca="false">C5*C7</f>
        <v>43942.4</v>
      </c>
    </row>
    <row r="9" customFormat="false" ht="15" hidden="false" customHeight="false" outlineLevel="0" collapsed="false">
      <c r="B9" s="4" t="s">
        <v>23</v>
      </c>
      <c r="C9" s="11" t="n">
        <v>43.8</v>
      </c>
    </row>
    <row r="10" customFormat="false" ht="15" hidden="false" customHeight="false" outlineLevel="0" collapsed="false">
      <c r="B10" s="4" t="s">
        <v>24</v>
      </c>
      <c r="C10" s="12" t="s">
        <v>25</v>
      </c>
    </row>
    <row r="11" customFormat="false" ht="15" hidden="false" customHeight="false" outlineLevel="0" collapsed="false">
      <c r="B11" s="4" t="s">
        <v>26</v>
      </c>
      <c r="C11" s="12" t="s">
        <v>27</v>
      </c>
    </row>
    <row r="13" customFormat="false" ht="21.75" hidden="false" customHeight="true" outlineLevel="0" collapsed="false">
      <c r="B13" s="10" t="s">
        <v>28</v>
      </c>
      <c r="C13" s="10"/>
      <c r="D13" s="10"/>
      <c r="E13" s="10"/>
      <c r="F13" s="10"/>
    </row>
    <row r="14" customFormat="false" ht="48" hidden="false" customHeight="true" outlineLevel="0" collapsed="false">
      <c r="B14" s="15" t="s">
        <v>29</v>
      </c>
      <c r="C14" s="16" t="s">
        <v>30</v>
      </c>
      <c r="D14" s="16"/>
      <c r="E14" s="16"/>
      <c r="F14" s="16"/>
    </row>
    <row r="15" customFormat="false" ht="48" hidden="false" customHeight="true" outlineLevel="0" collapsed="false">
      <c r="B15" s="15" t="s">
        <v>31</v>
      </c>
      <c r="C15" s="16" t="s">
        <v>32</v>
      </c>
      <c r="D15" s="16"/>
      <c r="E15" s="16"/>
      <c r="F15" s="16"/>
    </row>
    <row r="16" customFormat="false" ht="48" hidden="false" customHeight="true" outlineLevel="0" collapsed="false">
      <c r="B16" s="15" t="s">
        <v>33</v>
      </c>
      <c r="C16" s="16" t="s">
        <v>34</v>
      </c>
      <c r="D16" s="16"/>
      <c r="E16" s="16"/>
      <c r="F16" s="16"/>
    </row>
    <row r="17" customFormat="false" ht="48" hidden="false" customHeight="true" outlineLevel="0" collapsed="false">
      <c r="B17" s="15" t="s">
        <v>35</v>
      </c>
      <c r="C17" s="16" t="s">
        <v>36</v>
      </c>
      <c r="D17" s="16"/>
      <c r="E17" s="16"/>
      <c r="F17" s="16"/>
    </row>
    <row r="18" customFormat="false" ht="48" hidden="false" customHeight="true" outlineLevel="0" collapsed="false">
      <c r="B18" s="15" t="s">
        <v>37</v>
      </c>
      <c r="C18" s="16" t="s">
        <v>38</v>
      </c>
      <c r="D18" s="16"/>
      <c r="E18" s="16"/>
      <c r="F18" s="16"/>
    </row>
    <row r="19" customFormat="false" ht="48" hidden="false" customHeight="true" outlineLevel="0" collapsed="false">
      <c r="B19" s="15" t="s">
        <v>39</v>
      </c>
      <c r="C19" s="16" t="s">
        <v>40</v>
      </c>
      <c r="D19" s="16"/>
      <c r="E19" s="16"/>
      <c r="F19" s="16"/>
    </row>
    <row r="20" customFormat="false" ht="48" hidden="false" customHeight="true" outlineLevel="0" collapsed="false">
      <c r="B20" s="15" t="s">
        <v>41</v>
      </c>
      <c r="C20" s="16" t="s">
        <v>42</v>
      </c>
      <c r="D20" s="16"/>
      <c r="E20" s="16"/>
      <c r="F20" s="16"/>
    </row>
    <row r="21" customFormat="false" ht="48" hidden="false" customHeight="true" outlineLevel="0" collapsed="false">
      <c r="B21" s="15" t="s">
        <v>43</v>
      </c>
      <c r="C21" s="16" t="s">
        <v>44</v>
      </c>
      <c r="D21" s="16"/>
      <c r="E21" s="16"/>
      <c r="F21" s="16"/>
    </row>
    <row r="22" customFormat="false" ht="48" hidden="false" customHeight="true" outlineLevel="0" collapsed="false">
      <c r="B22" s="15" t="s">
        <v>45</v>
      </c>
      <c r="C22" s="16" t="s">
        <v>46</v>
      </c>
      <c r="D22" s="16"/>
      <c r="E22" s="16"/>
      <c r="F22" s="16"/>
    </row>
    <row r="24" customFormat="false" ht="15" hidden="false" customHeight="false" outlineLevel="0" collapsed="false">
      <c r="B24" s="17" t="s">
        <v>47</v>
      </c>
    </row>
  </sheetData>
  <mergeCells count="11">
    <mergeCell ref="B4:F4"/>
    <mergeCell ref="B13:F13"/>
    <mergeCell ref="C14:F14"/>
    <mergeCell ref="C15:F15"/>
    <mergeCell ref="C16:F16"/>
    <mergeCell ref="C17:F17"/>
    <mergeCell ref="C18:F18"/>
    <mergeCell ref="C19:F19"/>
    <mergeCell ref="C20:F20"/>
    <mergeCell ref="C21:F21"/>
    <mergeCell ref="C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0"/>
    <col collapsed="false" customWidth="true" hidden="false" outlineLevel="0" max="4" min="4" style="0" width="12"/>
    <col collapsed="false" customWidth="true" hidden="false" outlineLevel="0" max="5" min="5" style="0" width="55"/>
    <col collapsed="false" customWidth="true" hidden="false" outlineLevel="0" max="6" min="6" style="0" width="3"/>
  </cols>
  <sheetData>
    <row r="1" customFormat="false" ht="19.7" hidden="false" customHeight="false" outlineLevel="0" collapsed="false">
      <c r="A1" s="8" t="s">
        <v>48</v>
      </c>
    </row>
    <row r="2" customFormat="false" ht="15" hidden="false" customHeight="false" outlineLevel="0" collapsed="false">
      <c r="A2" s="9" t="s">
        <v>49</v>
      </c>
    </row>
    <row r="4" customFormat="false" ht="21.75" hidden="false" customHeight="true" outlineLevel="0" collapsed="false">
      <c r="B4" s="10" t="s">
        <v>50</v>
      </c>
      <c r="C4" s="10"/>
      <c r="D4" s="10"/>
      <c r="E4" s="10"/>
    </row>
    <row r="5" customFormat="false" ht="15" hidden="false" customHeight="false" outlineLevel="0" collapsed="false">
      <c r="B5" s="18" t="s">
        <v>51</v>
      </c>
      <c r="C5" s="18" t="s">
        <v>52</v>
      </c>
      <c r="D5" s="18" t="s">
        <v>53</v>
      </c>
      <c r="E5" s="18" t="s">
        <v>54</v>
      </c>
    </row>
    <row r="6" customFormat="false" ht="42" hidden="false" customHeight="true" outlineLevel="0" collapsed="false">
      <c r="B6" s="19" t="s">
        <v>55</v>
      </c>
      <c r="C6" s="19" t="s">
        <v>56</v>
      </c>
      <c r="D6" s="19" t="s">
        <v>57</v>
      </c>
      <c r="E6" s="19" t="s">
        <v>58</v>
      </c>
    </row>
    <row r="7" customFormat="false" ht="42" hidden="false" customHeight="true" outlineLevel="0" collapsed="false">
      <c r="B7" s="19" t="s">
        <v>59</v>
      </c>
      <c r="C7" s="19" t="s">
        <v>60</v>
      </c>
      <c r="D7" s="19" t="s">
        <v>57</v>
      </c>
      <c r="E7" s="19" t="s">
        <v>61</v>
      </c>
    </row>
    <row r="8" customFormat="false" ht="42" hidden="false" customHeight="true" outlineLevel="0" collapsed="false">
      <c r="B8" s="19" t="s">
        <v>62</v>
      </c>
      <c r="C8" s="19" t="s">
        <v>63</v>
      </c>
      <c r="D8" s="19" t="s">
        <v>57</v>
      </c>
      <c r="E8" s="19" t="s">
        <v>64</v>
      </c>
    </row>
    <row r="9" customFormat="false" ht="42" hidden="false" customHeight="true" outlineLevel="0" collapsed="false">
      <c r="B9" s="19" t="s">
        <v>65</v>
      </c>
      <c r="C9" s="19" t="s">
        <v>66</v>
      </c>
      <c r="D9" s="19" t="s">
        <v>57</v>
      </c>
      <c r="E9" s="19" t="s">
        <v>67</v>
      </c>
    </row>
    <row r="10" customFormat="false" ht="42" hidden="false" customHeight="true" outlineLevel="0" collapsed="false">
      <c r="B10" s="19" t="s">
        <v>68</v>
      </c>
      <c r="C10" s="19" t="s">
        <v>69</v>
      </c>
      <c r="D10" s="19" t="s">
        <v>70</v>
      </c>
      <c r="E10" s="19" t="s">
        <v>71</v>
      </c>
    </row>
    <row r="12" customFormat="false" ht="21.75" hidden="false" customHeight="true" outlineLevel="0" collapsed="false">
      <c r="B12" s="10" t="s">
        <v>72</v>
      </c>
      <c r="C12" s="10"/>
      <c r="D12" s="10"/>
      <c r="E12" s="10"/>
    </row>
    <row r="13" customFormat="false" ht="42" hidden="false" customHeight="true" outlineLevel="0" collapsed="false">
      <c r="B13" s="19" t="s">
        <v>73</v>
      </c>
      <c r="C13" s="19" t="s">
        <v>74</v>
      </c>
      <c r="D13" s="19" t="s">
        <v>75</v>
      </c>
      <c r="E13" s="19" t="s">
        <v>76</v>
      </c>
    </row>
    <row r="14" customFormat="false" ht="42" hidden="false" customHeight="true" outlineLevel="0" collapsed="false">
      <c r="B14" s="19" t="s">
        <v>77</v>
      </c>
      <c r="C14" s="19" t="s">
        <v>78</v>
      </c>
      <c r="D14" s="19" t="s">
        <v>75</v>
      </c>
      <c r="E14" s="19" t="s">
        <v>79</v>
      </c>
    </row>
    <row r="15" customFormat="false" ht="42" hidden="false" customHeight="true" outlineLevel="0" collapsed="false">
      <c r="B15" s="19" t="s">
        <v>80</v>
      </c>
      <c r="C15" s="19" t="s">
        <v>81</v>
      </c>
      <c r="D15" s="19" t="s">
        <v>75</v>
      </c>
      <c r="E15" s="19" t="s">
        <v>82</v>
      </c>
    </row>
    <row r="16" customFormat="false" ht="42" hidden="false" customHeight="true" outlineLevel="0" collapsed="false">
      <c r="B16" s="19" t="s">
        <v>83</v>
      </c>
      <c r="C16" s="19" t="s">
        <v>84</v>
      </c>
      <c r="D16" s="19" t="s">
        <v>75</v>
      </c>
      <c r="E16" s="19" t="s">
        <v>85</v>
      </c>
    </row>
    <row r="17" customFormat="false" ht="42" hidden="false" customHeight="true" outlineLevel="0" collapsed="false">
      <c r="B17" s="19" t="s">
        <v>86</v>
      </c>
      <c r="C17" s="19" t="s">
        <v>87</v>
      </c>
      <c r="D17" s="19" t="s">
        <v>75</v>
      </c>
      <c r="E17" s="19" t="s">
        <v>88</v>
      </c>
    </row>
    <row r="19" customFormat="false" ht="21.75" hidden="false" customHeight="true" outlineLevel="0" collapsed="false">
      <c r="B19" s="10" t="s">
        <v>89</v>
      </c>
      <c r="C19" s="10"/>
      <c r="D19" s="10"/>
      <c r="E19" s="10"/>
    </row>
    <row r="20" customFormat="false" ht="30" hidden="false" customHeight="true" outlineLevel="0" collapsed="false">
      <c r="B20" s="4" t="s">
        <v>90</v>
      </c>
      <c r="C20" s="16" t="s">
        <v>91</v>
      </c>
      <c r="D20" s="16"/>
      <c r="E20" s="16"/>
    </row>
    <row r="21" customFormat="false" ht="30" hidden="false" customHeight="true" outlineLevel="0" collapsed="false">
      <c r="B21" s="4" t="s">
        <v>92</v>
      </c>
      <c r="C21" s="16" t="s">
        <v>93</v>
      </c>
      <c r="D21" s="16"/>
      <c r="E21" s="16"/>
    </row>
    <row r="22" customFormat="false" ht="30" hidden="false" customHeight="true" outlineLevel="0" collapsed="false">
      <c r="B22" s="4" t="s">
        <v>94</v>
      </c>
      <c r="C22" s="16" t="s">
        <v>95</v>
      </c>
      <c r="D22" s="16"/>
      <c r="E22" s="16"/>
    </row>
    <row r="23" customFormat="false" ht="30" hidden="false" customHeight="true" outlineLevel="0" collapsed="false">
      <c r="B23" s="4" t="s">
        <v>96</v>
      </c>
      <c r="C23" s="16" t="s">
        <v>97</v>
      </c>
      <c r="D23" s="16"/>
      <c r="E23" s="16"/>
    </row>
    <row r="24" customFormat="false" ht="30" hidden="false" customHeight="true" outlineLevel="0" collapsed="false">
      <c r="B24" s="4" t="s">
        <v>98</v>
      </c>
      <c r="C24" s="16" t="s">
        <v>99</v>
      </c>
      <c r="D24" s="16"/>
      <c r="E24" s="16"/>
    </row>
    <row r="25" customFormat="false" ht="30" hidden="false" customHeight="true" outlineLevel="0" collapsed="false">
      <c r="B25" s="4" t="s">
        <v>100</v>
      </c>
      <c r="C25" s="16" t="s">
        <v>101</v>
      </c>
      <c r="D25" s="16"/>
      <c r="E25" s="16"/>
    </row>
  </sheetData>
  <mergeCells count="9">
    <mergeCell ref="B4:E4"/>
    <mergeCell ref="B12:E12"/>
    <mergeCell ref="B19:E19"/>
    <mergeCell ref="C20:E20"/>
    <mergeCell ref="C21:E21"/>
    <mergeCell ref="C22:E22"/>
    <mergeCell ref="C23:E23"/>
    <mergeCell ref="C24:E24"/>
    <mergeCell ref="C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8"/>
    <col collapsed="false" customWidth="true" hidden="false" outlineLevel="0" max="5" min="4" style="0" width="10"/>
    <col collapsed="false" customWidth="true" hidden="false" outlineLevel="0" max="6" min="6" style="0" width="12"/>
    <col collapsed="false" customWidth="true" hidden="false" outlineLevel="0" max="8" min="7" style="0" width="10"/>
    <col collapsed="false" customWidth="true" hidden="false" outlineLevel="0" max="10" min="9" style="0" width="12"/>
    <col collapsed="false" customWidth="true" hidden="false" outlineLevel="0" max="11" min="11" style="0" width="11"/>
    <col collapsed="false" customWidth="true" hidden="false" outlineLevel="0" max="12" min="12" style="0" width="10"/>
    <col collapsed="false" customWidth="true" hidden="false" outlineLevel="0" max="13" min="13" style="0" width="11"/>
    <col collapsed="false" customWidth="true" hidden="false" outlineLevel="0" max="16" min="14" style="0" width="8"/>
    <col collapsed="false" customWidth="true" hidden="false" outlineLevel="0" max="17" min="17" style="0" width="12"/>
  </cols>
  <sheetData>
    <row r="1" customFormat="false" ht="19.7" hidden="false" customHeight="false" outlineLevel="0" collapsed="false">
      <c r="A1" s="8" t="s">
        <v>102</v>
      </c>
    </row>
    <row r="2" customFormat="false" ht="15" hidden="false" customHeight="false" outlineLevel="0" collapsed="false">
      <c r="A2" s="9" t="s">
        <v>103</v>
      </c>
    </row>
    <row r="4" customFormat="false" ht="30" hidden="false" customHeight="true" outlineLevel="0" collapsed="false">
      <c r="B4" s="18" t="s">
        <v>51</v>
      </c>
      <c r="C4" s="18" t="s">
        <v>52</v>
      </c>
      <c r="D4" s="18" t="s">
        <v>104</v>
      </c>
      <c r="E4" s="18" t="s">
        <v>105</v>
      </c>
      <c r="F4" s="18" t="s">
        <v>106</v>
      </c>
      <c r="G4" s="18" t="s">
        <v>107</v>
      </c>
      <c r="H4" s="18" t="s">
        <v>108</v>
      </c>
      <c r="I4" s="18" t="s">
        <v>109</v>
      </c>
      <c r="J4" s="18" t="s">
        <v>110</v>
      </c>
      <c r="K4" s="18" t="s">
        <v>111</v>
      </c>
      <c r="L4" s="18" t="s">
        <v>112</v>
      </c>
      <c r="M4" s="18" t="s">
        <v>113</v>
      </c>
      <c r="N4" s="18" t="s">
        <v>114</v>
      </c>
      <c r="O4" s="18" t="s">
        <v>115</v>
      </c>
      <c r="P4" s="18" t="s">
        <v>116</v>
      </c>
      <c r="Q4" s="18" t="s">
        <v>117</v>
      </c>
    </row>
    <row r="5" customFormat="false" ht="15" hidden="false" customHeight="false" outlineLevel="0" collapsed="false">
      <c r="B5" s="20" t="s">
        <v>118</v>
      </c>
      <c r="C5" s="20" t="s">
        <v>119</v>
      </c>
      <c r="D5" s="21" t="n">
        <v>34.33</v>
      </c>
      <c r="E5" s="22" t="n">
        <v>1280</v>
      </c>
      <c r="F5" s="23" t="n">
        <f aca="false">D5*E5</f>
        <v>43942.4</v>
      </c>
      <c r="G5" s="24" t="n">
        <v>871</v>
      </c>
      <c r="H5" s="24" t="n">
        <v>5250</v>
      </c>
      <c r="I5" s="23" t="n">
        <f aca="false">F5-G5+H5</f>
        <v>48321.4</v>
      </c>
      <c r="J5" s="24" t="n">
        <v>12140</v>
      </c>
      <c r="K5" s="24" t="n">
        <v>2500</v>
      </c>
      <c r="L5" s="24" t="n">
        <v>1890</v>
      </c>
      <c r="M5" s="24" t="n">
        <v>1450</v>
      </c>
      <c r="N5" s="21" t="n">
        <v>1.09</v>
      </c>
      <c r="O5" s="25" t="n">
        <v>0.492</v>
      </c>
      <c r="P5" s="25" t="n">
        <v>0.215</v>
      </c>
      <c r="Q5" s="25" t="n">
        <v>0.094</v>
      </c>
    </row>
    <row r="6" customFormat="false" ht="15" hidden="false" customHeight="false" outlineLevel="0" collapsed="false">
      <c r="B6" s="20" t="s">
        <v>55</v>
      </c>
      <c r="C6" s="20" t="s">
        <v>56</v>
      </c>
      <c r="D6" s="21" t="n">
        <v>66</v>
      </c>
      <c r="E6" s="22" t="n">
        <v>116.4</v>
      </c>
      <c r="F6" s="23" t="n">
        <f aca="false">D6*E6</f>
        <v>7682.4</v>
      </c>
      <c r="G6" s="24" t="n">
        <v>403</v>
      </c>
      <c r="H6" s="24" t="n">
        <v>498</v>
      </c>
      <c r="I6" s="23" t="n">
        <f aca="false">F6-G6+H6</f>
        <v>7777.4</v>
      </c>
      <c r="J6" s="24" t="n">
        <v>1290</v>
      </c>
      <c r="K6" s="24" t="n">
        <v>146</v>
      </c>
      <c r="L6" s="24" t="n">
        <v>60</v>
      </c>
      <c r="M6" s="24" t="n">
        <v>62</v>
      </c>
      <c r="N6" s="21" t="n">
        <v>0.53</v>
      </c>
      <c r="O6" s="25" t="n">
        <v>0.08</v>
      </c>
      <c r="P6" s="25" t="n">
        <v>0.062</v>
      </c>
      <c r="Q6" s="25" t="n">
        <v>0.25</v>
      </c>
    </row>
    <row r="7" customFormat="false" ht="15" hidden="false" customHeight="false" outlineLevel="0" collapsed="false">
      <c r="B7" s="20" t="s">
        <v>59</v>
      </c>
      <c r="C7" s="20" t="s">
        <v>60</v>
      </c>
      <c r="D7" s="21" t="n">
        <v>8</v>
      </c>
      <c r="E7" s="22" t="n">
        <v>112</v>
      </c>
      <c r="F7" s="23" t="n">
        <f aca="false">D7*E7</f>
        <v>896</v>
      </c>
      <c r="G7" s="24" t="n">
        <v>157</v>
      </c>
      <c r="H7" s="24" t="n">
        <v>356</v>
      </c>
      <c r="I7" s="23" t="n">
        <f aca="false">F7-G7+H7</f>
        <v>1095</v>
      </c>
      <c r="J7" s="24" t="n">
        <v>685</v>
      </c>
      <c r="K7" s="24" t="n">
        <v>-10</v>
      </c>
      <c r="L7" s="24" t="n">
        <v>-96</v>
      </c>
      <c r="M7" s="24" t="n">
        <v>-45</v>
      </c>
      <c r="N7" s="21" t="n">
        <v>-0.4</v>
      </c>
      <c r="O7" s="25" t="n">
        <v>-0.08</v>
      </c>
      <c r="P7" s="25" t="n">
        <v>-0.15</v>
      </c>
      <c r="Q7" s="26" t="s">
        <v>120</v>
      </c>
    </row>
    <row r="8" customFormat="false" ht="15" hidden="false" customHeight="false" outlineLevel="0" collapsed="false">
      <c r="B8" s="20" t="s">
        <v>62</v>
      </c>
      <c r="C8" s="20" t="s">
        <v>63</v>
      </c>
      <c r="D8" s="21" t="n">
        <v>91</v>
      </c>
      <c r="E8" s="22" t="n">
        <v>43</v>
      </c>
      <c r="F8" s="23" t="n">
        <f aca="false">D8*E8</f>
        <v>3913</v>
      </c>
      <c r="G8" s="24" t="n">
        <v>308</v>
      </c>
      <c r="H8" s="24" t="n">
        <v>952</v>
      </c>
      <c r="I8" s="23" t="n">
        <f aca="false">F8-G8+H8</f>
        <v>4557</v>
      </c>
      <c r="J8" s="24" t="n">
        <v>1550</v>
      </c>
      <c r="K8" s="24" t="n">
        <v>472</v>
      </c>
      <c r="L8" s="24" t="n">
        <v>200</v>
      </c>
      <c r="M8" s="24" t="n">
        <v>40</v>
      </c>
      <c r="N8" s="21" t="n">
        <v>0.95</v>
      </c>
      <c r="O8" s="25" t="n">
        <v>0.079</v>
      </c>
      <c r="P8" s="25" t="n">
        <v>0.033</v>
      </c>
      <c r="Q8" s="25" t="n">
        <v>0.25</v>
      </c>
    </row>
    <row r="9" customFormat="false" ht="15" hidden="false" customHeight="false" outlineLevel="0" collapsed="false">
      <c r="B9" s="20" t="s">
        <v>65</v>
      </c>
      <c r="C9" s="20" t="s">
        <v>66</v>
      </c>
      <c r="D9" s="21" t="n">
        <v>53</v>
      </c>
      <c r="E9" s="22" t="n">
        <v>188.4</v>
      </c>
      <c r="F9" s="23" t="n">
        <f aca="false">D9*E9</f>
        <v>9985.2</v>
      </c>
      <c r="G9" s="24" t="n">
        <v>250</v>
      </c>
      <c r="H9" s="24" t="n">
        <v>600</v>
      </c>
      <c r="I9" s="23" t="n">
        <f aca="false">F9-G9+H9</f>
        <v>10335.2</v>
      </c>
      <c r="J9" s="24" t="n">
        <v>1880</v>
      </c>
      <c r="K9" s="24" t="n">
        <v>318</v>
      </c>
      <c r="L9" s="24" t="n">
        <v>200</v>
      </c>
      <c r="M9" s="24" t="n">
        <v>92</v>
      </c>
      <c r="N9" s="21" t="n">
        <v>0.49</v>
      </c>
      <c r="O9" s="25" t="n">
        <v>0.146</v>
      </c>
      <c r="P9" s="25" t="n">
        <v>0.084</v>
      </c>
      <c r="Q9" s="25" t="n">
        <v>0.4</v>
      </c>
    </row>
    <row r="10" customFormat="false" ht="15" hidden="false" customHeight="false" outlineLevel="0" collapsed="false">
      <c r="B10" s="20" t="s">
        <v>68</v>
      </c>
      <c r="C10" s="20" t="s">
        <v>69</v>
      </c>
      <c r="D10" s="21" t="n">
        <v>254.2</v>
      </c>
      <c r="E10" s="22" t="n">
        <v>27.5</v>
      </c>
      <c r="F10" s="23" t="n">
        <f aca="false">D10*E10</f>
        <v>6990.5</v>
      </c>
      <c r="G10" s="24" t="n">
        <v>197</v>
      </c>
      <c r="H10" s="24" t="n">
        <v>1270</v>
      </c>
      <c r="I10" s="23" t="n">
        <f aca="false">F10-G10+H10</f>
        <v>8063.5</v>
      </c>
      <c r="J10" s="24" t="n">
        <v>697</v>
      </c>
      <c r="K10" s="24" t="n">
        <v>216</v>
      </c>
      <c r="L10" s="24" t="n">
        <v>190</v>
      </c>
      <c r="M10" s="24" t="n">
        <v>174</v>
      </c>
      <c r="N10" s="21" t="n">
        <v>6.21</v>
      </c>
      <c r="O10" s="25" t="n">
        <v>0.45</v>
      </c>
      <c r="P10" s="25" t="n">
        <v>0.2</v>
      </c>
      <c r="Q10" s="25" t="n">
        <v>-0.1</v>
      </c>
    </row>
    <row r="12" customFormat="false" ht="15" hidden="false" customHeight="false" outlineLevel="0" collapsed="false">
      <c r="B12" s="17" t="s">
        <v>121</v>
      </c>
    </row>
    <row r="13" customFormat="false" ht="15" hidden="false" customHeight="false" outlineLevel="0" collapsed="false">
      <c r="B13" s="17" t="s">
        <v>122</v>
      </c>
    </row>
    <row r="15" customFormat="false" ht="21.75" hidden="false" customHeight="true" outlineLevel="0" collapsed="false">
      <c r="B15" s="10" t="s">
        <v>123</v>
      </c>
      <c r="C15" s="10"/>
      <c r="D15" s="10"/>
      <c r="E15" s="10"/>
      <c r="F15" s="10"/>
      <c r="G15" s="10"/>
      <c r="H15" s="10"/>
      <c r="I15" s="10"/>
      <c r="J15" s="10"/>
      <c r="K15" s="10"/>
      <c r="L15" s="10"/>
      <c r="M15" s="10"/>
      <c r="N15" s="10"/>
      <c r="O15" s="10"/>
      <c r="P15" s="10"/>
      <c r="Q15" s="10"/>
    </row>
    <row r="16" customFormat="false" ht="26.85" hidden="false" customHeight="false" outlineLevel="0" collapsed="false">
      <c r="B16" s="18" t="s">
        <v>51</v>
      </c>
      <c r="C16" s="18" t="s">
        <v>52</v>
      </c>
      <c r="D16" s="18" t="s">
        <v>106</v>
      </c>
      <c r="E16" s="18" t="s">
        <v>124</v>
      </c>
      <c r="F16" s="18" t="s">
        <v>125</v>
      </c>
    </row>
    <row r="17" customFormat="false" ht="15" hidden="false" customHeight="false" outlineLevel="0" collapsed="false">
      <c r="B17" s="20" t="s">
        <v>73</v>
      </c>
      <c r="C17" s="20" t="s">
        <v>74</v>
      </c>
      <c r="D17" s="24" t="n">
        <v>193000</v>
      </c>
      <c r="E17" s="27" t="n">
        <v>17</v>
      </c>
      <c r="F17" s="27" t="n">
        <v>24</v>
      </c>
    </row>
    <row r="18" customFormat="false" ht="15" hidden="false" customHeight="false" outlineLevel="0" collapsed="false">
      <c r="B18" s="20" t="s">
        <v>77</v>
      </c>
      <c r="C18" s="20" t="s">
        <v>78</v>
      </c>
      <c r="D18" s="24" t="n">
        <v>41000</v>
      </c>
      <c r="E18" s="27" t="n">
        <v>16</v>
      </c>
      <c r="F18" s="27" t="n">
        <v>22</v>
      </c>
    </row>
    <row r="19" customFormat="false" ht="15" hidden="false" customHeight="false" outlineLevel="0" collapsed="false">
      <c r="B19" s="20" t="s">
        <v>80</v>
      </c>
      <c r="C19" s="20" t="s">
        <v>81</v>
      </c>
      <c r="D19" s="24" t="n">
        <v>14000</v>
      </c>
      <c r="E19" s="27" t="n">
        <v>18</v>
      </c>
      <c r="F19" s="27" t="n">
        <v>23</v>
      </c>
    </row>
    <row r="20" customFormat="false" ht="15" hidden="false" customHeight="false" outlineLevel="0" collapsed="false">
      <c r="B20" s="20" t="s">
        <v>83</v>
      </c>
      <c r="C20" s="20" t="s">
        <v>84</v>
      </c>
      <c r="D20" s="24" t="n">
        <v>25300</v>
      </c>
      <c r="E20" s="27" t="n">
        <v>13</v>
      </c>
      <c r="F20" s="27" t="n">
        <v>18</v>
      </c>
    </row>
    <row r="21" customFormat="false" ht="15" hidden="false" customHeight="false" outlineLevel="0" collapsed="false">
      <c r="B21" s="20" t="s">
        <v>86</v>
      </c>
      <c r="C21" s="20" t="s">
        <v>87</v>
      </c>
      <c r="D21" s="24" t="n">
        <v>122300</v>
      </c>
      <c r="E21" s="27" t="n">
        <v>26.9</v>
      </c>
      <c r="F21" s="27" t="n">
        <v>81.9</v>
      </c>
    </row>
    <row r="23" customFormat="false" ht="15" hidden="false" customHeight="false" outlineLevel="0" collapsed="false">
      <c r="B23" s="17" t="s">
        <v>126</v>
      </c>
    </row>
  </sheetData>
  <mergeCells count="1">
    <mergeCell ref="B15:Q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9"/>
    <col collapsed="false" customWidth="true" hidden="false" outlineLevel="0" max="10" min="4" style="0" width="11"/>
    <col collapsed="false" customWidth="true" hidden="false" outlineLevel="0" max="11" min="11" style="0" width="9"/>
  </cols>
  <sheetData>
    <row r="1" customFormat="false" ht="19.7" hidden="false" customHeight="false" outlineLevel="0" collapsed="false">
      <c r="A1" s="8" t="s">
        <v>127</v>
      </c>
    </row>
    <row r="2" customFormat="false" ht="15" hidden="false" customHeight="false" outlineLevel="0" collapsed="false">
      <c r="A2" s="9" t="s">
        <v>128</v>
      </c>
    </row>
    <row r="4" customFormat="false" ht="27.75" hidden="false" customHeight="true" outlineLevel="0" collapsed="false">
      <c r="B4" s="18" t="s">
        <v>51</v>
      </c>
      <c r="C4" s="18" t="s">
        <v>52</v>
      </c>
      <c r="D4" s="18" t="s">
        <v>129</v>
      </c>
      <c r="E4" s="18" t="s">
        <v>124</v>
      </c>
      <c r="F4" s="18" t="s">
        <v>130</v>
      </c>
      <c r="G4" s="18" t="s">
        <v>131</v>
      </c>
      <c r="H4" s="18" t="s">
        <v>132</v>
      </c>
      <c r="I4" s="18" t="s">
        <v>133</v>
      </c>
      <c r="J4" s="18" t="s">
        <v>134</v>
      </c>
      <c r="K4" s="18" t="s">
        <v>135</v>
      </c>
    </row>
    <row r="5" customFormat="false" ht="15" hidden="false" customHeight="false" outlineLevel="0" collapsed="false">
      <c r="B5" s="28" t="str">
        <f aca="false">'Raw Data'!B5</f>
        <v>Chipotle Mexican Grill</v>
      </c>
      <c r="C5" s="28" t="str">
        <f aca="false">'Raw Data'!C5</f>
        <v>CMG</v>
      </c>
      <c r="D5" s="29" t="n">
        <f aca="false">'Raw Data'!I5/'Raw Data'!J5</f>
        <v>3.98034596375618</v>
      </c>
      <c r="E5" s="29" t="n">
        <f aca="false">IF('Raw Data'!K5&lt;=0,"n.m.",'Raw Data'!I5/'Raw Data'!K5)</f>
        <v>19.32856</v>
      </c>
      <c r="F5" s="29" t="n">
        <f aca="false">IF('Raw Data'!L5&lt;=0,"n.m.",'Raw Data'!I5/'Raw Data'!L5)</f>
        <v>25.5668783068783</v>
      </c>
      <c r="G5" s="29" t="n">
        <f aca="false">IF('Raw Data'!N5&lt;=0,"n.m.",'Raw Data'!D5/'Raw Data'!N5)</f>
        <v>31.4954128440367</v>
      </c>
      <c r="H5" s="29" t="n">
        <f aca="false">IF(OR('Raw Data'!N5&lt;=0,'Raw Data'!Q5="n.m."),"n.m.",G5/(1+'Raw Data'!Q5))</f>
        <v>28.7892256344028</v>
      </c>
      <c r="I5" s="29" t="n">
        <f aca="false">IF('Raw Data'!O5&lt;=0,"n.m.",'Raw Data'!F5/('Raw Data'!M5/'Raw Data'!O5))</f>
        <v>14.9101108965517</v>
      </c>
      <c r="J5" s="29" t="n">
        <f aca="false">'Raw Data'!F5/'Raw Data'!J5</f>
        <v>3.61963756177924</v>
      </c>
      <c r="K5" s="30" t="n">
        <f aca="false">IF(OR('Raw Data'!Q5="n.m.",'Raw Data'!Q5&lt;=0,G5="n.m."),"n.m.",G5/('Raw Data'!Q5*100))</f>
        <v>3.35057583447199</v>
      </c>
    </row>
    <row r="6" customFormat="false" ht="15" hidden="false" customHeight="false" outlineLevel="0" collapsed="false">
      <c r="B6" s="28" t="str">
        <f aca="false">'Raw Data'!B6</f>
        <v>CAVA Group</v>
      </c>
      <c r="C6" s="28" t="str">
        <f aca="false">'Raw Data'!C6</f>
        <v>CAVA</v>
      </c>
      <c r="D6" s="29" t="n">
        <f aca="false">'Raw Data'!I6/'Raw Data'!J6</f>
        <v>6.02899224806202</v>
      </c>
      <c r="E6" s="29" t="n">
        <f aca="false">IF('Raw Data'!K6&lt;=0,"n.m.",'Raw Data'!I6/'Raw Data'!K6)</f>
        <v>53.2698630136986</v>
      </c>
      <c r="F6" s="29" t="n">
        <f aca="false">IF('Raw Data'!L6&lt;=0,"n.m.",'Raw Data'!I6/'Raw Data'!L6)</f>
        <v>129.623333333333</v>
      </c>
      <c r="G6" s="29" t="n">
        <f aca="false">IF('Raw Data'!N6&lt;=0,"n.m.",'Raw Data'!D6/'Raw Data'!N6)</f>
        <v>124.528301886792</v>
      </c>
      <c r="H6" s="29" t="n">
        <f aca="false">IF(OR('Raw Data'!N6&lt;=0,'Raw Data'!Q6="n.m."),"n.m.",G6/(1+'Raw Data'!Q6))</f>
        <v>99.622641509434</v>
      </c>
      <c r="I6" s="29" t="n">
        <f aca="false">IF('Raw Data'!O6&lt;=0,"n.m.",'Raw Data'!F6/('Raw Data'!M6/'Raw Data'!O6))</f>
        <v>9.91277419354839</v>
      </c>
      <c r="J6" s="29" t="n">
        <f aca="false">'Raw Data'!F6/'Raw Data'!J6</f>
        <v>5.9553488372093</v>
      </c>
      <c r="K6" s="30" t="n">
        <f aca="false">IF(OR('Raw Data'!Q6="n.m.",'Raw Data'!Q6&lt;=0,G6="n.m."),"n.m.",G6/('Raw Data'!Q6*100))</f>
        <v>4.9811320754717</v>
      </c>
    </row>
    <row r="7" customFormat="false" ht="15" hidden="false" customHeight="false" outlineLevel="0" collapsed="false">
      <c r="B7" s="28" t="str">
        <f aca="false">'Raw Data'!B7</f>
        <v>Sweetgreen</v>
      </c>
      <c r="C7" s="28" t="str">
        <f aca="false">'Raw Data'!C7</f>
        <v>SG</v>
      </c>
      <c r="D7" s="29" t="n">
        <f aca="false">'Raw Data'!I7/'Raw Data'!J7</f>
        <v>1.5985401459854</v>
      </c>
      <c r="E7" s="29" t="str">
        <f aca="false">IF('Raw Data'!K7&lt;=0,"n.m.",'Raw Data'!I7/'Raw Data'!K7)</f>
        <v>n.m.</v>
      </c>
      <c r="F7" s="29" t="str">
        <f aca="false">IF('Raw Data'!L7&lt;=0,"n.m.",'Raw Data'!I7/'Raw Data'!L7)</f>
        <v>n.m.</v>
      </c>
      <c r="G7" s="29" t="str">
        <f aca="false">IF('Raw Data'!N7&lt;=0,"n.m.",'Raw Data'!D7/'Raw Data'!N7)</f>
        <v>n.m.</v>
      </c>
      <c r="H7" s="29" t="str">
        <f aca="false">IF(OR('Raw Data'!N7&lt;=0,'Raw Data'!Q7="n.m."),"n.m.",G7/(1+'Raw Data'!Q7))</f>
        <v>n.m.</v>
      </c>
      <c r="I7" s="29" t="str">
        <f aca="false">IF('Raw Data'!O7&lt;=0,"n.m.",'Raw Data'!F7/('Raw Data'!M7/'Raw Data'!O7))</f>
        <v>n.m.</v>
      </c>
      <c r="J7" s="29" t="n">
        <f aca="false">'Raw Data'!F7/'Raw Data'!J7</f>
        <v>1.30802919708029</v>
      </c>
      <c r="K7" s="30" t="str">
        <f aca="false">IF(OR('Raw Data'!Q7="n.m.",'Raw Data'!Q7&lt;=0,G7="n.m."),"n.m.",G7/('Raw Data'!Q7*100))</f>
        <v>n.m.</v>
      </c>
    </row>
    <row r="8" customFormat="false" ht="15" hidden="false" customHeight="false" outlineLevel="0" collapsed="false">
      <c r="B8" s="28" t="str">
        <f aca="false">'Raw Data'!B8</f>
        <v>Shake Shack</v>
      </c>
      <c r="C8" s="28" t="str">
        <f aca="false">'Raw Data'!C8</f>
        <v>SHAK</v>
      </c>
      <c r="D8" s="29" t="n">
        <f aca="false">'Raw Data'!I8/'Raw Data'!J8</f>
        <v>2.94</v>
      </c>
      <c r="E8" s="29" t="n">
        <f aca="false">IF('Raw Data'!K8&lt;=0,"n.m.",'Raw Data'!I8/'Raw Data'!K8)</f>
        <v>9.65466101694915</v>
      </c>
      <c r="F8" s="29" t="n">
        <f aca="false">IF('Raw Data'!L8&lt;=0,"n.m.",'Raw Data'!I8/'Raw Data'!L8)</f>
        <v>22.785</v>
      </c>
      <c r="G8" s="29" t="n">
        <f aca="false">IF('Raw Data'!N8&lt;=0,"n.m.",'Raw Data'!D8/'Raw Data'!N8)</f>
        <v>95.7894736842105</v>
      </c>
      <c r="H8" s="29" t="n">
        <f aca="false">IF(OR('Raw Data'!N8&lt;=0,'Raw Data'!Q8="n.m."),"n.m.",G8/(1+'Raw Data'!Q8))</f>
        <v>76.6315789473684</v>
      </c>
      <c r="I8" s="29" t="n">
        <f aca="false">IF('Raw Data'!O8&lt;=0,"n.m.",'Raw Data'!F8/('Raw Data'!M8/'Raw Data'!O8))</f>
        <v>7.728175</v>
      </c>
      <c r="J8" s="29" t="n">
        <f aca="false">'Raw Data'!F8/'Raw Data'!J8</f>
        <v>2.52451612903226</v>
      </c>
      <c r="K8" s="30" t="n">
        <f aca="false">IF(OR('Raw Data'!Q8="n.m.",'Raw Data'!Q8&lt;=0,G8="n.m."),"n.m.",G8/('Raw Data'!Q8*100))</f>
        <v>3.83157894736842</v>
      </c>
    </row>
    <row r="9" customFormat="false" ht="15" hidden="false" customHeight="false" outlineLevel="0" collapsed="false">
      <c r="B9" s="28" t="str">
        <f aca="false">'Raw Data'!B9</f>
        <v>Dutch Bros</v>
      </c>
      <c r="C9" s="28" t="str">
        <f aca="false">'Raw Data'!C9</f>
        <v>BROS</v>
      </c>
      <c r="D9" s="29" t="n">
        <f aca="false">'Raw Data'!I9/'Raw Data'!J9</f>
        <v>5.49744680851064</v>
      </c>
      <c r="E9" s="29" t="n">
        <f aca="false">IF('Raw Data'!K9&lt;=0,"n.m.",'Raw Data'!I9/'Raw Data'!K9)</f>
        <v>32.5006289308176</v>
      </c>
      <c r="F9" s="29" t="n">
        <f aca="false">IF('Raw Data'!L9&lt;=0,"n.m.",'Raw Data'!I9/'Raw Data'!L9)</f>
        <v>51.676</v>
      </c>
      <c r="G9" s="29" t="n">
        <f aca="false">IF('Raw Data'!N9&lt;=0,"n.m.",'Raw Data'!D9/'Raw Data'!N9)</f>
        <v>108.163265306122</v>
      </c>
      <c r="H9" s="29" t="n">
        <f aca="false">IF(OR('Raw Data'!N9&lt;=0,'Raw Data'!Q9="n.m."),"n.m.",G9/(1+'Raw Data'!Q9))</f>
        <v>77.2594752186589</v>
      </c>
      <c r="I9" s="29" t="n">
        <f aca="false">IF('Raw Data'!O9&lt;=0,"n.m.",'Raw Data'!F9/('Raw Data'!M9/'Raw Data'!O9))</f>
        <v>15.8460782608696</v>
      </c>
      <c r="J9" s="29" t="n">
        <f aca="false">'Raw Data'!F9/'Raw Data'!J9</f>
        <v>5.31127659574468</v>
      </c>
      <c r="K9" s="30" t="n">
        <f aca="false">IF(OR('Raw Data'!Q9="n.m.",'Raw Data'!Q9&lt;=0,G9="n.m."),"n.m.",G9/('Raw Data'!Q9*100))</f>
        <v>2.70408163265306</v>
      </c>
    </row>
    <row r="10" customFormat="false" ht="15" hidden="false" customHeight="false" outlineLevel="0" collapsed="false">
      <c r="B10" s="28" t="str">
        <f aca="false">'Raw Data'!B10</f>
        <v>Wingstop</v>
      </c>
      <c r="C10" s="28" t="str">
        <f aca="false">'Raw Data'!C10</f>
        <v>WING</v>
      </c>
      <c r="D10" s="29" t="n">
        <f aca="false">'Raw Data'!I10/'Raw Data'!J10</f>
        <v>11.5688665710187</v>
      </c>
      <c r="E10" s="29" t="n">
        <f aca="false">IF('Raw Data'!K10&lt;=0,"n.m.",'Raw Data'!I10/'Raw Data'!K10)</f>
        <v>37.3310185185185</v>
      </c>
      <c r="F10" s="29" t="n">
        <f aca="false">IF('Raw Data'!L10&lt;=0,"n.m.",'Raw Data'!I10/'Raw Data'!L10)</f>
        <v>42.4394736842105</v>
      </c>
      <c r="G10" s="29" t="n">
        <f aca="false">IF('Raw Data'!N10&lt;=0,"n.m.",'Raw Data'!D10/'Raw Data'!N10)</f>
        <v>40.9339774557166</v>
      </c>
      <c r="H10" s="29" t="n">
        <f aca="false">IF(OR('Raw Data'!N10&lt;=0,'Raw Data'!Q10="n.m."),"n.m.",G10/(1+'Raw Data'!Q10))</f>
        <v>45.4821971730184</v>
      </c>
      <c r="I10" s="29" t="n">
        <f aca="false">IF('Raw Data'!O10&lt;=0,"n.m.",'Raw Data'!F10/('Raw Data'!M10/'Raw Data'!O10))</f>
        <v>18.0788793103448</v>
      </c>
      <c r="J10" s="29" t="n">
        <f aca="false">'Raw Data'!F10/'Raw Data'!J10</f>
        <v>10.0294117647059</v>
      </c>
      <c r="K10" s="30" t="str">
        <f aca="false">IF(OR('Raw Data'!Q10="n.m.",'Raw Data'!Q10&lt;=0,G10="n.m."),"n.m.",G10/('Raw Data'!Q10*100))</f>
        <v>n.m.</v>
      </c>
    </row>
    <row r="12" customFormat="false" ht="15" hidden="false" customHeight="false" outlineLevel="0" collapsed="false">
      <c r="B12" s="17" t="s">
        <v>136</v>
      </c>
    </row>
    <row r="13" customFormat="false" ht="15" hidden="false" customHeight="false" outlineLevel="0" collapsed="false">
      <c r="B13" s="17"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6" min="3" style="0" width="13"/>
    <col collapsed="false" customWidth="true" hidden="false" outlineLevel="0" max="7" min="7" style="0" width="3"/>
    <col collapsed="false" customWidth="true" hidden="false" outlineLevel="0" max="8" min="8" style="0" width="30"/>
    <col collapsed="false" customWidth="true" hidden="false" outlineLevel="0" max="9" min="9" style="0" width="16"/>
  </cols>
  <sheetData>
    <row r="1" customFormat="false" ht="19.7" hidden="false" customHeight="false" outlineLevel="0" collapsed="false">
      <c r="A1" s="8" t="s">
        <v>138</v>
      </c>
    </row>
    <row r="2" customFormat="false" ht="15" hidden="false" customHeight="false" outlineLevel="0" collapsed="false">
      <c r="A2" s="9" t="s">
        <v>139</v>
      </c>
    </row>
    <row r="4" customFormat="false" ht="21.75" hidden="false" customHeight="true" outlineLevel="0" collapsed="false">
      <c r="B4" s="10" t="s">
        <v>140</v>
      </c>
      <c r="C4" s="10"/>
      <c r="D4" s="10"/>
      <c r="E4" s="10"/>
      <c r="F4" s="10"/>
      <c r="H4" s="10" t="s">
        <v>141</v>
      </c>
      <c r="I4" s="10"/>
    </row>
    <row r="5" customFormat="false" ht="15" hidden="false" customHeight="false" outlineLevel="0" collapsed="false">
      <c r="B5" s="31" t="s">
        <v>51</v>
      </c>
      <c r="C5" s="31" t="s">
        <v>124</v>
      </c>
      <c r="H5" s="32" t="s">
        <v>142</v>
      </c>
      <c r="I5" s="33" t="n">
        <f aca="false">'Raw Data'!K5</f>
        <v>2500</v>
      </c>
    </row>
    <row r="6" customFormat="false" ht="15" hidden="false" customHeight="false" outlineLevel="0" collapsed="false">
      <c r="B6" s="28" t="str">
        <f aca="false">Multiples!B6</f>
        <v>CAVA Group</v>
      </c>
      <c r="C6" s="29" t="n">
        <f aca="false">Multiples!E6</f>
        <v>53.2698630136986</v>
      </c>
      <c r="H6" s="32" t="s">
        <v>143</v>
      </c>
      <c r="I6" s="33" t="n">
        <f aca="false">'Raw Data'!J5</f>
        <v>12140</v>
      </c>
    </row>
    <row r="7" customFormat="false" ht="15" hidden="false" customHeight="false" outlineLevel="0" collapsed="false">
      <c r="B7" s="28" t="str">
        <f aca="false">Multiples!B7</f>
        <v>Sweetgreen</v>
      </c>
      <c r="C7" s="29" t="str">
        <f aca="false">Multiples!E7</f>
        <v>n.m.</v>
      </c>
      <c r="H7" s="32" t="s">
        <v>144</v>
      </c>
      <c r="I7" s="33" t="n">
        <f aca="false">'Raw Data'!G5</f>
        <v>871</v>
      </c>
    </row>
    <row r="8" customFormat="false" ht="15" hidden="false" customHeight="false" outlineLevel="0" collapsed="false">
      <c r="B8" s="28" t="str">
        <f aca="false">Multiples!B8</f>
        <v>Shake Shack</v>
      </c>
      <c r="C8" s="29" t="n">
        <f aca="false">Multiples!E8</f>
        <v>9.65466101694915</v>
      </c>
      <c r="H8" s="32" t="s">
        <v>145</v>
      </c>
      <c r="I8" s="33" t="n">
        <f aca="false">'Raw Data'!H5</f>
        <v>5250</v>
      </c>
    </row>
    <row r="9" customFormat="false" ht="15" hidden="false" customHeight="false" outlineLevel="0" collapsed="false">
      <c r="B9" s="28" t="str">
        <f aca="false">Multiples!B9</f>
        <v>Dutch Bros</v>
      </c>
      <c r="C9" s="29" t="n">
        <f aca="false">Multiples!E9</f>
        <v>32.5006289308176</v>
      </c>
      <c r="H9" s="32" t="s">
        <v>146</v>
      </c>
      <c r="I9" s="33" t="n">
        <f aca="false">'Raw Data'!E5</f>
        <v>1280</v>
      </c>
    </row>
    <row r="10" customFormat="false" ht="15" hidden="false" customHeight="false" outlineLevel="0" collapsed="false">
      <c r="B10" s="28" t="str">
        <f aca="false">Multiples!B10</f>
        <v>Wingstop</v>
      </c>
      <c r="C10" s="29" t="n">
        <f aca="false">Multiples!E10</f>
        <v>37.3310185185185</v>
      </c>
      <c r="H10" s="32" t="s">
        <v>147</v>
      </c>
      <c r="I10" s="34" t="n">
        <f aca="false">'Raw Data'!D5</f>
        <v>34.33</v>
      </c>
    </row>
    <row r="12" customFormat="false" ht="15" hidden="false" customHeight="false" outlineLevel="0" collapsed="false">
      <c r="B12" s="32" t="s">
        <v>148</v>
      </c>
      <c r="C12" s="35" t="n">
        <f aca="false">AVERAGE(C6:C10)</f>
        <v>33.189042869996</v>
      </c>
      <c r="H12" s="32" t="s">
        <v>149</v>
      </c>
      <c r="I12" s="35" t="n">
        <f aca="false">C13</f>
        <v>34.9158237246681</v>
      </c>
    </row>
    <row r="13" customFormat="false" ht="15" hidden="false" customHeight="false" outlineLevel="0" collapsed="false">
      <c r="B13" s="32" t="s">
        <v>150</v>
      </c>
      <c r="C13" s="35" t="n">
        <f aca="false">MEDIAN(C6:C10)</f>
        <v>34.9158237246681</v>
      </c>
      <c r="H13" s="32" t="s">
        <v>151</v>
      </c>
      <c r="I13" s="35" t="n">
        <f aca="false">C24</f>
        <v>21.0776449738834</v>
      </c>
    </row>
    <row r="14" customFormat="false" ht="15" hidden="false" customHeight="false" outlineLevel="0" collapsed="false">
      <c r="B14" s="32" t="s">
        <v>152</v>
      </c>
      <c r="C14" s="35" t="n">
        <f aca="false">QUARTILE(C6:C10,1)</f>
        <v>26.7891369523505</v>
      </c>
      <c r="H14" s="32" t="s">
        <v>153</v>
      </c>
      <c r="I14" s="35" t="n">
        <f aca="false">C34</f>
        <v>4.21872340425532</v>
      </c>
    </row>
    <row r="15" customFormat="false" ht="15" hidden="false" customHeight="false" outlineLevel="0" collapsed="false">
      <c r="B15" s="32" t="s">
        <v>154</v>
      </c>
      <c r="C15" s="35" t="n">
        <f aca="false">QUARTILE(C6:C10,3)</f>
        <v>41.3157296423136</v>
      </c>
    </row>
    <row r="16" customFormat="false" ht="15" hidden="false" customHeight="false" outlineLevel="0" collapsed="false">
      <c r="B16" s="32" t="s">
        <v>155</v>
      </c>
      <c r="C16" s="35" t="n">
        <f aca="false">MIN(C6:C10)</f>
        <v>9.65466101694915</v>
      </c>
      <c r="H16" s="31" t="s">
        <v>156</v>
      </c>
      <c r="I16" s="31" t="s">
        <v>157</v>
      </c>
    </row>
    <row r="17" customFormat="false" ht="15" hidden="false" customHeight="false" outlineLevel="0" collapsed="false">
      <c r="B17" s="32" t="s">
        <v>158</v>
      </c>
      <c r="C17" s="35" t="n">
        <f aca="false">MAX(C6:C10)</f>
        <v>53.2698630136986</v>
      </c>
      <c r="H17" s="20" t="s">
        <v>159</v>
      </c>
      <c r="I17" s="36" t="n">
        <f aca="false">((I13*I5)-I8+I7)/I9</f>
        <v>37.746181589616</v>
      </c>
    </row>
    <row r="18" customFormat="false" ht="15" hidden="false" customHeight="false" outlineLevel="0" collapsed="false">
      <c r="B18" s="32" t="s">
        <v>160</v>
      </c>
      <c r="C18" s="35" t="n">
        <f aca="false">STDEV(C6:C10)</f>
        <v>18.0253187015132</v>
      </c>
      <c r="H18" s="20" t="s">
        <v>161</v>
      </c>
      <c r="I18" s="36" t="n">
        <f aca="false">((I12*I5)-I8+I7)/I9</f>
        <v>64.7738744622423</v>
      </c>
    </row>
    <row r="19" customFormat="false" ht="15" hidden="false" customHeight="false" outlineLevel="0" collapsed="false">
      <c r="H19" s="20" t="s">
        <v>162</v>
      </c>
      <c r="I19" s="36" t="n">
        <f aca="false">((I14*I6)-I8+I7)/I9</f>
        <v>36.5908610372341</v>
      </c>
    </row>
    <row r="20" customFormat="false" ht="15" hidden="false" customHeight="false" outlineLevel="0" collapsed="false">
      <c r="B20" s="17" t="s">
        <v>163</v>
      </c>
    </row>
    <row r="21" customFormat="false" ht="15" hidden="false" customHeight="false" outlineLevel="0" collapsed="false">
      <c r="B21" s="17" t="s">
        <v>164</v>
      </c>
      <c r="H21" s="37" t="s">
        <v>165</v>
      </c>
      <c r="I21" s="37"/>
    </row>
    <row r="22" customFormat="false" ht="15" hidden="false" customHeight="false" outlineLevel="0" collapsed="false">
      <c r="H22" s="20" t="s">
        <v>159</v>
      </c>
      <c r="I22" s="38" t="n">
        <f aca="false">I17/I10-1</f>
        <v>0.0995100958233608</v>
      </c>
    </row>
    <row r="23" customFormat="false" ht="21.75" hidden="false" customHeight="true" outlineLevel="0" collapsed="false">
      <c r="B23" s="10" t="s">
        <v>166</v>
      </c>
      <c r="C23" s="10"/>
      <c r="D23" s="10"/>
      <c r="E23" s="10"/>
      <c r="F23" s="10"/>
      <c r="H23" s="20" t="s">
        <v>161</v>
      </c>
      <c r="I23" s="38" t="n">
        <f aca="false">I18/I10-1</f>
        <v>0.886800887335925</v>
      </c>
    </row>
    <row r="24" customFormat="false" ht="15" hidden="false" customHeight="false" outlineLevel="0" collapsed="false">
      <c r="B24" s="32" t="s">
        <v>167</v>
      </c>
      <c r="C24" s="35" t="n">
        <f aca="false">AVERAGE(Multiples!E8,Multiples!E9)</f>
        <v>21.0776449738834</v>
      </c>
      <c r="H24" s="20" t="s">
        <v>162</v>
      </c>
      <c r="I24" s="38" t="n">
        <f aca="false">I19/I10-1</f>
        <v>0.0658567153286935</v>
      </c>
    </row>
    <row r="25" customFormat="false" ht="15" hidden="false" customHeight="false" outlineLevel="0" collapsed="false">
      <c r="B25" s="17" t="s">
        <v>168</v>
      </c>
    </row>
    <row r="27" customFormat="false" ht="21.75" hidden="false" customHeight="true" outlineLevel="0" collapsed="false">
      <c r="B27" s="10" t="s">
        <v>169</v>
      </c>
      <c r="C27" s="10"/>
      <c r="D27" s="10"/>
      <c r="E27" s="10"/>
      <c r="F27" s="10"/>
    </row>
    <row r="28" customFormat="false" ht="15" hidden="false" customHeight="false" outlineLevel="0" collapsed="false">
      <c r="B28" s="31" t="s">
        <v>51</v>
      </c>
      <c r="C28" s="31" t="s">
        <v>129</v>
      </c>
    </row>
    <row r="29" customFormat="false" ht="15" hidden="false" customHeight="false" outlineLevel="0" collapsed="false">
      <c r="B29" s="28" t="str">
        <f aca="false">Multiples!B6</f>
        <v>CAVA Group</v>
      </c>
      <c r="C29" s="29" t="n">
        <f aca="false">Multiples!D6</f>
        <v>6.02899224806202</v>
      </c>
    </row>
    <row r="30" customFormat="false" ht="15" hidden="false" customHeight="false" outlineLevel="0" collapsed="false">
      <c r="B30" s="28" t="str">
        <f aca="false">Multiples!B7</f>
        <v>Sweetgreen</v>
      </c>
      <c r="C30" s="29" t="n">
        <f aca="false">Multiples!D7</f>
        <v>1.5985401459854</v>
      </c>
    </row>
    <row r="31" customFormat="false" ht="15" hidden="false" customHeight="false" outlineLevel="0" collapsed="false">
      <c r="B31" s="28" t="str">
        <f aca="false">Multiples!B8</f>
        <v>Shake Shack</v>
      </c>
      <c r="C31" s="29" t="n">
        <f aca="false">Multiples!D8</f>
        <v>2.94</v>
      </c>
    </row>
    <row r="32" customFormat="false" ht="15" hidden="false" customHeight="false" outlineLevel="0" collapsed="false">
      <c r="B32" s="28" t="str">
        <f aca="false">Multiples!B9</f>
        <v>Dutch Bros</v>
      </c>
      <c r="C32" s="29" t="n">
        <f aca="false">Multiples!D9</f>
        <v>5.49744680851064</v>
      </c>
    </row>
    <row r="34" customFormat="false" ht="15" hidden="false" customHeight="false" outlineLevel="0" collapsed="false">
      <c r="B34" s="32" t="s">
        <v>170</v>
      </c>
      <c r="C34" s="35" t="n">
        <f aca="false">MEDIAN(C29:C32)</f>
        <v>4.21872340425532</v>
      </c>
    </row>
    <row r="37" customFormat="false" ht="21.75" hidden="false" customHeight="true" outlineLevel="0" collapsed="false">
      <c r="B37" s="10" t="s">
        <v>171</v>
      </c>
      <c r="C37" s="10"/>
      <c r="D37" s="10"/>
      <c r="E37" s="10"/>
      <c r="F37" s="10"/>
      <c r="G37" s="10"/>
      <c r="H37" s="10"/>
      <c r="I37" s="10"/>
    </row>
    <row r="38" customFormat="false" ht="15" hidden="false" customHeight="false" outlineLevel="0" collapsed="false">
      <c r="B38" s="4" t="s">
        <v>172</v>
      </c>
    </row>
    <row r="39" customFormat="false" ht="15" hidden="false" customHeight="false" outlineLevel="0" collapsed="false">
      <c r="B39" s="20" t="s">
        <v>173</v>
      </c>
      <c r="C39" s="25" t="n">
        <v>0.09</v>
      </c>
    </row>
    <row r="40" customFormat="false" ht="15" hidden="false" customHeight="false" outlineLevel="0" collapsed="false">
      <c r="B40" s="20" t="s">
        <v>174</v>
      </c>
      <c r="C40" s="25" t="n">
        <v>0.03</v>
      </c>
    </row>
    <row r="41" customFormat="false" ht="15" hidden="false" customHeight="false" outlineLevel="0" collapsed="false">
      <c r="B41" s="20" t="s">
        <v>175</v>
      </c>
      <c r="C41" s="25" t="n">
        <v>0.26</v>
      </c>
    </row>
    <row r="42" customFormat="false" ht="15" hidden="false" customHeight="false" outlineLevel="0" collapsed="false">
      <c r="B42" s="20" t="s">
        <v>176</v>
      </c>
      <c r="C42" s="25" t="n">
        <v>0.08</v>
      </c>
    </row>
    <row r="43" customFormat="false" ht="15" hidden="false" customHeight="false" outlineLevel="0" collapsed="false">
      <c r="B43" s="20" t="s">
        <v>177</v>
      </c>
      <c r="C43" s="25" t="n">
        <v>0.05</v>
      </c>
    </row>
    <row r="44" customFormat="false" ht="15" hidden="false" customHeight="false" outlineLevel="0" collapsed="false">
      <c r="B44" s="20" t="s">
        <v>178</v>
      </c>
      <c r="C44" s="24" t="n">
        <v>50</v>
      </c>
    </row>
    <row r="46" customFormat="false" ht="26.85" hidden="false" customHeight="false" outlineLevel="0" collapsed="false">
      <c r="B46" s="18" t="s">
        <v>179</v>
      </c>
      <c r="C46" s="18"/>
      <c r="D46" s="18" t="s">
        <v>180</v>
      </c>
      <c r="E46" s="18" t="s">
        <v>181</v>
      </c>
      <c r="F46" s="18" t="s">
        <v>182</v>
      </c>
      <c r="G46" s="18" t="s">
        <v>183</v>
      </c>
      <c r="H46" s="18" t="s">
        <v>184</v>
      </c>
    </row>
    <row r="47" customFormat="false" ht="15" hidden="false" customHeight="false" outlineLevel="0" collapsed="false">
      <c r="B47" s="32" t="s">
        <v>185</v>
      </c>
      <c r="D47" s="25" t="n">
        <v>0.09</v>
      </c>
      <c r="E47" s="25" t="n">
        <v>0.08</v>
      </c>
      <c r="F47" s="25" t="n">
        <v>0.07</v>
      </c>
      <c r="G47" s="25" t="n">
        <v>0.06</v>
      </c>
      <c r="H47" s="25" t="n">
        <v>0.05</v>
      </c>
    </row>
    <row r="48" customFormat="false" ht="15" hidden="false" customHeight="false" outlineLevel="0" collapsed="false">
      <c r="B48" s="32" t="s">
        <v>186</v>
      </c>
      <c r="D48" s="25" t="n">
        <v>0.21</v>
      </c>
      <c r="E48" s="25" t="n">
        <v>0.215</v>
      </c>
      <c r="F48" s="25" t="n">
        <v>0.22</v>
      </c>
      <c r="G48" s="25" t="n">
        <v>0.222</v>
      </c>
      <c r="H48" s="25" t="n">
        <v>0.225</v>
      </c>
    </row>
    <row r="49" customFormat="false" ht="15" hidden="false" customHeight="false" outlineLevel="0" collapsed="false">
      <c r="B49" s="32" t="s">
        <v>110</v>
      </c>
      <c r="D49" s="23" t="n">
        <f aca="false">'Raw Data'!J5*(1+D47)</f>
        <v>13232.6</v>
      </c>
      <c r="E49" s="23" t="n">
        <f aca="false">D49*(1+E47)</f>
        <v>14291.208</v>
      </c>
      <c r="F49" s="23" t="n">
        <f aca="false">E49*(1+F47)</f>
        <v>15291.59256</v>
      </c>
      <c r="G49" s="23" t="n">
        <f aca="false">F49*(1+G47)</f>
        <v>16209.0881136</v>
      </c>
      <c r="H49" s="23" t="n">
        <f aca="false">G49*(1+H47)</f>
        <v>17019.54251928</v>
      </c>
    </row>
    <row r="50" customFormat="false" ht="15" hidden="false" customHeight="false" outlineLevel="0" collapsed="false">
      <c r="B50" s="32" t="s">
        <v>111</v>
      </c>
      <c r="D50" s="23" t="n">
        <f aca="false">D49*D48</f>
        <v>2778.846</v>
      </c>
      <c r="E50" s="23" t="n">
        <f aca="false">E49*E48</f>
        <v>3072.60972</v>
      </c>
      <c r="F50" s="23" t="n">
        <f aca="false">F49*F48</f>
        <v>3364.1503632</v>
      </c>
      <c r="G50" s="23" t="n">
        <f aca="false">G49*G48</f>
        <v>3598.4175612192</v>
      </c>
      <c r="H50" s="23" t="n">
        <f aca="false">H49*H48</f>
        <v>3829.397066838</v>
      </c>
    </row>
    <row r="51" customFormat="false" ht="15" hidden="false" customHeight="false" outlineLevel="0" collapsed="false">
      <c r="B51" s="20" t="s">
        <v>187</v>
      </c>
      <c r="D51" s="23" t="n">
        <f aca="false">-D49*$C$43</f>
        <v>-661.63</v>
      </c>
      <c r="E51" s="23" t="n">
        <f aca="false">-E49*$C$43</f>
        <v>-714.5604</v>
      </c>
      <c r="F51" s="23" t="n">
        <f aca="false">-F49*$C$43</f>
        <v>-764.579628</v>
      </c>
      <c r="G51" s="23" t="n">
        <f aca="false">-G49*$C$43</f>
        <v>-810.45440568</v>
      </c>
      <c r="H51" s="23" t="n">
        <f aca="false">-H49*$C$43</f>
        <v>-850.977125964</v>
      </c>
    </row>
    <row r="52" customFormat="false" ht="15" hidden="false" customHeight="false" outlineLevel="0" collapsed="false">
      <c r="B52" s="32" t="s">
        <v>112</v>
      </c>
      <c r="D52" s="23" t="n">
        <f aca="false">D50+D51</f>
        <v>2117.216</v>
      </c>
      <c r="E52" s="23" t="n">
        <f aca="false">E50+E51</f>
        <v>2358.04932</v>
      </c>
      <c r="F52" s="23" t="n">
        <f aca="false">F50+F51</f>
        <v>2599.5707352</v>
      </c>
      <c r="G52" s="23" t="n">
        <f aca="false">G50+G51</f>
        <v>2787.9631555392</v>
      </c>
      <c r="H52" s="23" t="n">
        <f aca="false">H50+H51</f>
        <v>2978.419940874</v>
      </c>
    </row>
    <row r="53" customFormat="false" ht="15" hidden="false" customHeight="false" outlineLevel="0" collapsed="false">
      <c r="B53" s="20" t="s">
        <v>188</v>
      </c>
      <c r="D53" s="23" t="n">
        <f aca="false">-D52*$C$41</f>
        <v>-550.47616</v>
      </c>
      <c r="E53" s="23" t="n">
        <f aca="false">-E52*$C$41</f>
        <v>-613.0928232</v>
      </c>
      <c r="F53" s="23" t="n">
        <f aca="false">-F52*$C$41</f>
        <v>-675.888391152</v>
      </c>
      <c r="G53" s="23" t="n">
        <f aca="false">-G52*$C$41</f>
        <v>-724.870420440192</v>
      </c>
      <c r="H53" s="23" t="n">
        <f aca="false">-H52*$C$41</f>
        <v>-774.38918462724</v>
      </c>
    </row>
    <row r="54" customFormat="false" ht="15" hidden="false" customHeight="false" outlineLevel="0" collapsed="false">
      <c r="B54" s="32" t="s">
        <v>189</v>
      </c>
      <c r="D54" s="23" t="n">
        <f aca="false">D52+D53</f>
        <v>1566.73984</v>
      </c>
      <c r="E54" s="23" t="n">
        <f aca="false">E52+E53</f>
        <v>1744.9564968</v>
      </c>
      <c r="F54" s="23" t="n">
        <f aca="false">F52+F53</f>
        <v>1923.682344048</v>
      </c>
      <c r="G54" s="23" t="n">
        <f aca="false">G52+G53</f>
        <v>2063.09273509901</v>
      </c>
      <c r="H54" s="23" t="n">
        <f aca="false">H52+H53</f>
        <v>2204.03075624676</v>
      </c>
    </row>
    <row r="55" customFormat="false" ht="15" hidden="false" customHeight="false" outlineLevel="0" collapsed="false">
      <c r="B55" s="20" t="s">
        <v>190</v>
      </c>
      <c r="D55" s="23" t="n">
        <f aca="false">-D51</f>
        <v>661.63</v>
      </c>
      <c r="E55" s="23" t="n">
        <f aca="false">-E51</f>
        <v>714.5604</v>
      </c>
      <c r="F55" s="23" t="n">
        <f aca="false">-F51</f>
        <v>764.579628</v>
      </c>
      <c r="G55" s="23" t="n">
        <f aca="false">-G51</f>
        <v>810.45440568</v>
      </c>
      <c r="H55" s="23" t="n">
        <f aca="false">-H51</f>
        <v>850.977125964</v>
      </c>
    </row>
    <row r="56" customFormat="false" ht="15" hidden="false" customHeight="false" outlineLevel="0" collapsed="false">
      <c r="B56" s="20" t="s">
        <v>191</v>
      </c>
      <c r="D56" s="23" t="n">
        <f aca="false">-D49*$C$42</f>
        <v>-1058.608</v>
      </c>
      <c r="E56" s="23" t="n">
        <f aca="false">-E49*$C$42</f>
        <v>-1143.29664</v>
      </c>
      <c r="F56" s="23" t="n">
        <f aca="false">-F49*$C$42</f>
        <v>-1223.3274048</v>
      </c>
      <c r="G56" s="23" t="n">
        <f aca="false">-G49*$C$42</f>
        <v>-1296.727049088</v>
      </c>
      <c r="H56" s="23" t="n">
        <f aca="false">-H49*$C$42</f>
        <v>-1361.5634015424</v>
      </c>
    </row>
    <row r="57" customFormat="false" ht="15" hidden="false" customHeight="false" outlineLevel="0" collapsed="false">
      <c r="B57" s="20" t="s">
        <v>192</v>
      </c>
      <c r="D57" s="23" t="n">
        <f aca="false">-$C$44</f>
        <v>-50</v>
      </c>
      <c r="E57" s="23" t="n">
        <f aca="false">-$C$44</f>
        <v>-50</v>
      </c>
      <c r="F57" s="23" t="n">
        <f aca="false">-$C$44</f>
        <v>-50</v>
      </c>
      <c r="G57" s="23" t="n">
        <f aca="false">-$C$44</f>
        <v>-50</v>
      </c>
      <c r="H57" s="23" t="n">
        <f aca="false">-$C$44</f>
        <v>-50</v>
      </c>
    </row>
    <row r="58" customFormat="false" ht="15" hidden="false" customHeight="false" outlineLevel="0" collapsed="false">
      <c r="B58" s="32" t="s">
        <v>193</v>
      </c>
      <c r="D58" s="39" t="n">
        <f aca="false">D54+D55+D56+D57</f>
        <v>1119.76184</v>
      </c>
      <c r="E58" s="39" t="n">
        <f aca="false">E54+E55+E56+E57</f>
        <v>1266.2202568</v>
      </c>
      <c r="F58" s="39" t="n">
        <f aca="false">F54+F55+F56+F57</f>
        <v>1414.934567248</v>
      </c>
      <c r="G58" s="39" t="n">
        <f aca="false">G54+G55+G56+G57</f>
        <v>1526.82009169101</v>
      </c>
      <c r="H58" s="39" t="n">
        <f aca="false">H54+H55+H56+H57</f>
        <v>1643.44448066836</v>
      </c>
    </row>
    <row r="59" customFormat="false" ht="15" hidden="false" customHeight="false" outlineLevel="0" collapsed="false">
      <c r="B59" s="20" t="s">
        <v>194</v>
      </c>
      <c r="D59" s="20" t="n">
        <v>1</v>
      </c>
      <c r="E59" s="20" t="n">
        <v>2</v>
      </c>
      <c r="F59" s="20" t="n">
        <v>3</v>
      </c>
      <c r="G59" s="20" t="n">
        <v>4</v>
      </c>
      <c r="H59" s="20" t="n">
        <v>5</v>
      </c>
    </row>
    <row r="60" customFormat="false" ht="15" hidden="false" customHeight="false" outlineLevel="0" collapsed="false">
      <c r="B60" s="32" t="s">
        <v>195</v>
      </c>
      <c r="D60" s="23" t="n">
        <f aca="false">D58/(1+$C$39)^D59</f>
        <v>1027.30444036697</v>
      </c>
      <c r="E60" s="23" t="n">
        <f aca="false">E58/(1+$C$39)^E59</f>
        <v>1065.75225721741</v>
      </c>
      <c r="F60" s="23" t="n">
        <f aca="false">F58/(1+$C$39)^F59</f>
        <v>1092.58909819626</v>
      </c>
      <c r="G60" s="23" t="n">
        <f aca="false">G58/(1+$C$39)^G59</f>
        <v>1081.63784571479</v>
      </c>
      <c r="H60" s="23" t="n">
        <f aca="false">H58/(1+$C$39)^H59</f>
        <v>1068.12614962515</v>
      </c>
    </row>
    <row r="62" customFormat="false" ht="15" hidden="false" customHeight="false" outlineLevel="0" collapsed="false">
      <c r="B62" s="32" t="s">
        <v>196</v>
      </c>
      <c r="D62" s="23" t="n">
        <f aca="false">SUM(D60:H60)</f>
        <v>5335.40979112057</v>
      </c>
    </row>
    <row r="63" customFormat="false" ht="15" hidden="false" customHeight="false" outlineLevel="0" collapsed="false">
      <c r="B63" s="32" t="s">
        <v>197</v>
      </c>
      <c r="D63" s="23" t="n">
        <f aca="false">H58*(1+$C$40)/($C$39-$C$40)</f>
        <v>28212.4635848069</v>
      </c>
    </row>
    <row r="64" customFormat="false" ht="15" hidden="false" customHeight="false" outlineLevel="0" collapsed="false">
      <c r="B64" s="32" t="s">
        <v>198</v>
      </c>
      <c r="D64" s="23" t="n">
        <f aca="false">D63/(1+$C$39)^5</f>
        <v>18336.1655685651</v>
      </c>
    </row>
    <row r="65" customFormat="false" ht="15" hidden="false" customHeight="false" outlineLevel="0" collapsed="false">
      <c r="B65" s="32" t="s">
        <v>199</v>
      </c>
      <c r="D65" s="39" t="n">
        <f aca="false">D62+D64</f>
        <v>23671.5753596857</v>
      </c>
    </row>
    <row r="66" customFormat="false" ht="15" hidden="false" customHeight="false" outlineLevel="0" collapsed="false">
      <c r="B66" s="32" t="s">
        <v>200</v>
      </c>
      <c r="D66" s="23" t="n">
        <f aca="false">D65-I8+I7</f>
        <v>19292.5753596857</v>
      </c>
    </row>
    <row r="67" customFormat="false" ht="15" hidden="false" customHeight="false" outlineLevel="0" collapsed="false">
      <c r="B67" s="32" t="s">
        <v>201</v>
      </c>
      <c r="D67" s="40" t="n">
        <f aca="false">D66/I9</f>
        <v>15.0723244997544</v>
      </c>
    </row>
    <row r="69" customFormat="false" ht="21.75" hidden="false" customHeight="true" outlineLevel="0" collapsed="false">
      <c r="B69" s="10" t="s">
        <v>202</v>
      </c>
      <c r="C69" s="10"/>
      <c r="D69" s="10"/>
      <c r="E69" s="10"/>
      <c r="F69" s="10"/>
      <c r="G69" s="10"/>
      <c r="H69" s="10"/>
      <c r="I69" s="10"/>
    </row>
    <row r="70" customFormat="false" ht="15" hidden="false" customHeight="false" outlineLevel="0" collapsed="false">
      <c r="B70" s="31" t="s">
        <v>203</v>
      </c>
      <c r="D70" s="31" t="s">
        <v>204</v>
      </c>
    </row>
    <row r="71" customFormat="false" ht="15" hidden="false" customHeight="false" outlineLevel="0" collapsed="false">
      <c r="B71" s="20" t="s">
        <v>205</v>
      </c>
      <c r="D71" s="36" t="n">
        <f aca="false">I10</f>
        <v>34.33</v>
      </c>
    </row>
    <row r="72" customFormat="false" ht="15" hidden="false" customHeight="false" outlineLevel="0" collapsed="false">
      <c r="B72" s="20" t="s">
        <v>206</v>
      </c>
      <c r="D72" s="36" t="n">
        <f aca="false">D67</f>
        <v>15.0723244997544</v>
      </c>
    </row>
    <row r="73" customFormat="false" ht="15" hidden="false" customHeight="false" outlineLevel="0" collapsed="false">
      <c r="B73" s="20" t="s">
        <v>207</v>
      </c>
      <c r="D73" s="36" t="n">
        <f aca="false">I17</f>
        <v>37.746181589616</v>
      </c>
    </row>
    <row r="74" customFormat="false" ht="15" hidden="false" customHeight="false" outlineLevel="0" collapsed="false">
      <c r="B74" s="20" t="s">
        <v>208</v>
      </c>
      <c r="D74" s="36" t="n">
        <f aca="false">I19</f>
        <v>36.5908610372341</v>
      </c>
    </row>
    <row r="75" customFormat="false" ht="15" hidden="false" customHeight="false" outlineLevel="0" collapsed="false">
      <c r="B75" s="20" t="s">
        <v>209</v>
      </c>
      <c r="D75" s="36" t="n">
        <f aca="false">I18</f>
        <v>64.7738744622423</v>
      </c>
    </row>
    <row r="77" customFormat="false" ht="15" hidden="false" customHeight="true" outlineLevel="0" collapsed="false">
      <c r="B77" s="16" t="s">
        <v>210</v>
      </c>
      <c r="C77" s="16"/>
      <c r="D77" s="16"/>
      <c r="E77" s="16"/>
      <c r="F77" s="16"/>
      <c r="G77" s="16"/>
      <c r="H77" s="16"/>
      <c r="I77" s="16"/>
    </row>
    <row r="78" customFormat="false" ht="15" hidden="false" customHeight="false" outlineLevel="0" collapsed="false">
      <c r="B78" s="16"/>
      <c r="C78" s="16"/>
      <c r="D78" s="16"/>
      <c r="E78" s="16"/>
      <c r="F78" s="16"/>
      <c r="G78" s="16"/>
      <c r="H78" s="16"/>
      <c r="I78" s="16"/>
    </row>
    <row r="79" customFormat="false" ht="15" hidden="false" customHeight="false" outlineLevel="0" collapsed="false">
      <c r="B79" s="16"/>
      <c r="C79" s="16"/>
      <c r="D79" s="16"/>
      <c r="E79" s="16"/>
      <c r="F79" s="16"/>
      <c r="G79" s="16"/>
      <c r="H79" s="16"/>
      <c r="I79" s="16"/>
    </row>
    <row r="80" customFormat="false" ht="15" hidden="false" customHeight="false" outlineLevel="0" collapsed="false">
      <c r="B80" s="16"/>
      <c r="C80" s="16"/>
      <c r="D80" s="16"/>
      <c r="E80" s="16"/>
      <c r="F80" s="16"/>
      <c r="G80" s="16"/>
      <c r="H80" s="16"/>
      <c r="I80" s="16"/>
    </row>
  </sheetData>
  <mergeCells count="8">
    <mergeCell ref="B4:F4"/>
    <mergeCell ref="H4:I4"/>
    <mergeCell ref="H21:I21"/>
    <mergeCell ref="B23:F23"/>
    <mergeCell ref="B27:F27"/>
    <mergeCell ref="B37:I37"/>
    <mergeCell ref="B69:I69"/>
    <mergeCell ref="B77:I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7" min="3" style="0" width="12"/>
  </cols>
  <sheetData>
    <row r="1" customFormat="false" ht="19.7" hidden="false" customHeight="false" outlineLevel="0" collapsed="false">
      <c r="A1" s="8" t="s">
        <v>211</v>
      </c>
    </row>
    <row r="2" customFormat="false" ht="15" hidden="false" customHeight="false" outlineLevel="0" collapsed="false">
      <c r="A2" s="9" t="s">
        <v>212</v>
      </c>
    </row>
    <row r="4" customFormat="false" ht="21.75" hidden="false" customHeight="true" outlineLevel="0" collapsed="false">
      <c r="B4" s="10" t="s">
        <v>213</v>
      </c>
      <c r="C4" s="10"/>
      <c r="D4" s="10"/>
      <c r="E4" s="10"/>
      <c r="F4" s="10"/>
      <c r="G4" s="10"/>
    </row>
    <row r="6" customFormat="false" ht="15" hidden="false" customHeight="false" outlineLevel="0" collapsed="false">
      <c r="B6" s="31" t="s">
        <v>214</v>
      </c>
      <c r="C6" s="41" t="n">
        <v>0.025</v>
      </c>
      <c r="D6" s="41" t="n">
        <v>0.0275</v>
      </c>
      <c r="E6" s="41" t="n">
        <v>0.03</v>
      </c>
      <c r="F6" s="41" t="n">
        <v>0.0325</v>
      </c>
      <c r="G6" s="41" t="n">
        <v>0.035</v>
      </c>
    </row>
    <row r="7" customFormat="false" ht="15" hidden="false" customHeight="false" outlineLevel="0" collapsed="false">
      <c r="B7" s="41" t="n">
        <v>0.08</v>
      </c>
      <c r="C7" s="36" t="n">
        <f aca="false">(SUMPRODUCT('Trading Comps'!D58:H58/(1+0.08)^'Trading Comps'!D59:H59)+('Trading Comps'!H58*(1+0.025)/(0.08-0.025))/(1+0.08)^5-'Raw Data'!H5+'Raw Data'!G5)/'Raw Data'!E5</f>
        <v>17.1501263863763</v>
      </c>
      <c r="D7" s="36" t="n">
        <f aca="false">(SUMPRODUCT('Trading Comps'!D58:H58/(1+0.08)^'Trading Comps'!D59:H59)+('Trading Comps'!H58*(1+0.0275)/(0.08-0.0275))/(1+0.08)^5-'Raw Data'!H5+'Raw Data'!G5)/'Raw Data'!E5</f>
        <v>17.9672129358249</v>
      </c>
      <c r="E7" s="36" t="n">
        <f aca="false">(SUMPRODUCT('Trading Comps'!D58:H58/(1+0.08)^'Trading Comps'!D59:H59)+('Trading Comps'!H58*(1+0.03)/(0.08-0.03))/(1+0.08)^5-'Raw Data'!H5+'Raw Data'!G5)/'Raw Data'!E5</f>
        <v>18.8660081402184</v>
      </c>
      <c r="F7" s="36" t="n">
        <f aca="false">(SUMPRODUCT('Trading Comps'!D58:H58/(1+0.08)^'Trading Comps'!D59:H59)+('Trading Comps'!H58*(1+0.0325)/(0.08-0.0325))/(1+0.08)^5-'Raw Data'!H5+'Raw Data'!G5)/'Raw Data'!E5</f>
        <v>19.8594133661269</v>
      </c>
      <c r="G7" s="36" t="n">
        <f aca="false">(SUMPRODUCT('Trading Comps'!D58:H58/(1+0.08)^'Trading Comps'!D59:H59)+('Trading Comps'!H58*(1+0.035)/(0.08-0.035))/(1+0.08)^5-'Raw Data'!H5+'Raw Data'!G5)/'Raw Data'!E5</f>
        <v>20.9631969504698</v>
      </c>
    </row>
    <row r="8" customFormat="false" ht="15" hidden="false" customHeight="false" outlineLevel="0" collapsed="false">
      <c r="B8" s="41" t="n">
        <v>0.085</v>
      </c>
      <c r="C8" s="36" t="n">
        <f aca="false">(SUMPRODUCT('Trading Comps'!D58:H58/(1+0.085)^'Trading Comps'!D59:H59)+('Trading Comps'!H58*(1+0.025)/(0.085-0.025))/(1+0.085)^5-'Raw Data'!H5+'Raw Data'!G5)/'Raw Data'!E5</f>
        <v>15.3926316258774</v>
      </c>
      <c r="D8" s="36" t="n">
        <f aca="false">(SUMPRODUCT('Trading Comps'!D58:H58/(1+0.085)^'Trading Comps'!D59:H59)+('Trading Comps'!H58*(1+0.0275)/(0.085-0.0275))/(1+0.085)^5-'Raw Data'!H5+'Raw Data'!G5)/'Raw Data'!E5</f>
        <v>16.0639785885542</v>
      </c>
      <c r="E8" s="36" t="n">
        <f aca="false">(SUMPRODUCT('Trading Comps'!D58:H58/(1+0.085)^'Trading Comps'!D59:H59)+('Trading Comps'!H58*(1+0.03)/(0.085-0.03))/(1+0.085)^5-'Raw Data'!H5+'Raw Data'!G5)/'Raw Data'!E5</f>
        <v>16.7963570932926</v>
      </c>
      <c r="F8" s="36" t="n">
        <f aca="false">(SUMPRODUCT('Trading Comps'!D58:H58/(1+0.085)^'Trading Comps'!D59:H59)+('Trading Comps'!H58*(1+0.0325)/(0.085-0.0325))/(1+0.085)^5-'Raw Data'!H5+'Raw Data'!G5)/'Raw Data'!E5</f>
        <v>17.5984859318156</v>
      </c>
      <c r="G8" s="36" t="n">
        <f aca="false">(SUMPRODUCT('Trading Comps'!D58:H58/(1+0.085)^'Trading Comps'!D59:H59)+('Trading Comps'!H58*(1+0.035)/(0.085-0.035))/(1+0.085)^5-'Raw Data'!H5+'Raw Data'!G5)/'Raw Data'!E5</f>
        <v>18.4808276541909</v>
      </c>
    </row>
    <row r="9" customFormat="false" ht="15" hidden="false" customHeight="false" outlineLevel="0" collapsed="false">
      <c r="B9" s="41" t="n">
        <v>0.09</v>
      </c>
      <c r="C9" s="36" t="n">
        <f aca="false">(SUMPRODUCT('Trading Comps'!D58:H58/(1+0.09)^'Trading Comps'!D59:H59)+('Trading Comps'!H58*(1+0.025)/(0.09-0.025))/(1+0.09)^5-'Raw Data'!H5+'Raw Data'!G5)/'Raw Data'!E5</f>
        <v>13.9062011993824</v>
      </c>
      <c r="D9" s="36" t="n">
        <f aca="false">(SUMPRODUCT('Trading Comps'!D58:H58/(1+0.09)^'Trading Comps'!D59:H59)+('Trading Comps'!H58*(1+0.0275)/(0.09-0.0275))/(1+0.09)^5-'Raw Data'!H5+'Raw Data'!G5)/'Raw Data'!E5</f>
        <v>14.465940383561</v>
      </c>
      <c r="E9" s="42" t="n">
        <f aca="false">(SUMPRODUCT('Trading Comps'!D58:H58/(1+0.09)^'Trading Comps'!D59:H59)+('Trading Comps'!H58*(1+0.03)/(0.09-0.03))/(1+0.09)^5-'Raw Data'!H5+'Raw Data'!G5)/'Raw Data'!E5</f>
        <v>15.0723244997544</v>
      </c>
      <c r="F9" s="36" t="n">
        <f aca="false">(SUMPRODUCT('Trading Comps'!D58:H58/(1+0.09)^'Trading Comps'!D59:H59)+('Trading Comps'!H58*(1+0.0325)/(0.09-0.0325))/(1+0.09)^5-'Raw Data'!H5+'Raw Data'!G5)/'Raw Data'!E5</f>
        <v>15.7314376695299</v>
      </c>
      <c r="G9" s="36" t="n">
        <f aca="false">(SUMPRODUCT('Trading Comps'!D58:H58/(1+0.09)^'Trading Comps'!D59:H59)+('Trading Comps'!H58*(1+0.035)/(0.09-0.035))/(1+0.09)^5-'Raw Data'!H5+'Raw Data'!G5)/'Raw Data'!E5</f>
        <v>16.4504702183759</v>
      </c>
    </row>
    <row r="10" customFormat="false" ht="15" hidden="false" customHeight="false" outlineLevel="0" collapsed="false">
      <c r="B10" s="41" t="n">
        <v>0.095</v>
      </c>
      <c r="C10" s="36" t="n">
        <f aca="false">(SUMPRODUCT('Trading Comps'!D58:H58/(1+0.095)^'Trading Comps'!D59:H59)+('Trading Comps'!H58*(1+0.025)/(0.095-0.025))/(1+0.095)^5-'Raw Data'!H5+'Raw Data'!G5)/'Raw Data'!E5</f>
        <v>12.6327354320702</v>
      </c>
      <c r="D10" s="36" t="n">
        <f aca="false">(SUMPRODUCT('Trading Comps'!D58:H58/(1+0.095)^'Trading Comps'!D59:H59)+('Trading Comps'!H58*(1+0.0275)/(0.095-0.0275))/(1+0.095)^5-'Raw Data'!H5+'Raw Data'!G5)/'Raw Data'!E5</f>
        <v>13.1052626036643</v>
      </c>
      <c r="E10" s="36" t="n">
        <f aca="false">(SUMPRODUCT('Trading Comps'!D58:H58/(1+0.095)^'Trading Comps'!D59:H59)+('Trading Comps'!H58*(1+0.03)/(0.095-0.03))/(1+0.095)^5-'Raw Data'!H5+'Raw Data'!G5)/'Raw Data'!E5</f>
        <v>13.6141380192272</v>
      </c>
      <c r="F10" s="36" t="n">
        <f aca="false">(SUMPRODUCT('Trading Comps'!D58:H58/(1+0.095)^'Trading Comps'!D59:H59)+('Trading Comps'!H58*(1+0.0325)/(0.095-0.0325))/(1+0.095)^5-'Raw Data'!H5+'Raw Data'!G5)/'Raw Data'!E5</f>
        <v>14.1637234680352</v>
      </c>
      <c r="G10" s="36" t="n">
        <f aca="false">(SUMPRODUCT('Trading Comps'!D58:H58/(1+0.095)^'Trading Comps'!D59:H59)+('Trading Comps'!H58*(1+0.035)/(0.095-0.035))/(1+0.095)^5-'Raw Data'!H5+'Raw Data'!G5)/'Raw Data'!E5</f>
        <v>14.7591077042437</v>
      </c>
    </row>
    <row r="11" customFormat="false" ht="15" hidden="false" customHeight="false" outlineLevel="0" collapsed="false">
      <c r="B11" s="41" t="n">
        <v>0.1</v>
      </c>
      <c r="C11" s="36" t="n">
        <f aca="false">(SUMPRODUCT('Trading Comps'!D58:H58/(1+0.1)^'Trading Comps'!D59:H59)+('Trading Comps'!H58*(1+0.025)/(0.1-0.025))/(1+0.1)^5-'Raw Data'!H5+'Raw Data'!G5)/'Raw Data'!E5</f>
        <v>11.5296282758019</v>
      </c>
      <c r="D11" s="36" t="n">
        <f aca="false">(SUMPRODUCT('Trading Comps'!D58:H58/(1+0.1)^'Trading Comps'!D59:H59)+('Trading Comps'!H58*(1+0.0275)/(0.1-0.0275))/(1+0.1)^5-'Raw Data'!H5+'Raw Data'!G5)/'Raw Data'!E5</f>
        <v>11.9328232087911</v>
      </c>
      <c r="E11" s="36" t="n">
        <f aca="false">(SUMPRODUCT('Trading Comps'!D58:H58/(1+0.1)^'Trading Comps'!D59:H59)+('Trading Comps'!H58*(1+0.03)/(0.1-0.03))/(1+0.1)^5-'Raw Data'!H5+'Raw Data'!G5)/'Raw Data'!E5</f>
        <v>12.3648177798509</v>
      </c>
      <c r="F11" s="36" t="n">
        <f aca="false">(SUMPRODUCT('Trading Comps'!D58:H58/(1+0.1)^'Trading Comps'!D59:H59)+('Trading Comps'!H58*(1+0.0325)/(0.1-0.0325))/(1+0.1)^5-'Raw Data'!H5+'Raw Data'!G5)/'Raw Data'!E5</f>
        <v>12.8288119487671</v>
      </c>
      <c r="G11" s="36" t="n">
        <f aca="false">(SUMPRODUCT('Trading Comps'!D58:H58/(1+0.1)^'Trading Comps'!D59:H59)+('Trading Comps'!H58*(1+0.035)/(0.1-0.035))/(1+0.1)^5-'Raw Data'!H5+'Raw Data'!G5)/'Raw Data'!E5</f>
        <v>13.3284979768306</v>
      </c>
    </row>
    <row r="14" customFormat="false" ht="15" hidden="false" customHeight="false" outlineLevel="0" collapsed="false">
      <c r="B14" s="17" t="s">
        <v>215</v>
      </c>
    </row>
    <row r="15" customFormat="false" ht="15" hidden="false" customHeight="false" outlineLevel="0" collapsed="false">
      <c r="B15" s="17" t="s">
        <v>216</v>
      </c>
    </row>
    <row r="16" customFormat="false" ht="15" hidden="false" customHeight="false" outlineLevel="0" collapsed="false">
      <c r="B16" s="17" t="s">
        <v>217</v>
      </c>
    </row>
    <row r="19" customFormat="false" ht="21.75" hidden="false" customHeight="true" outlineLevel="0" collapsed="false">
      <c r="B19" s="10" t="s">
        <v>218</v>
      </c>
      <c r="C19" s="10"/>
      <c r="D19" s="10"/>
      <c r="E19" s="10"/>
      <c r="F19" s="10"/>
      <c r="G19" s="10"/>
    </row>
    <row r="20" customFormat="false" ht="15" hidden="false" customHeight="true" outlineLevel="0" collapsed="false">
      <c r="B20" s="16" t="s">
        <v>219</v>
      </c>
      <c r="C20" s="16"/>
      <c r="D20" s="16"/>
      <c r="E20" s="16"/>
      <c r="F20" s="16"/>
      <c r="G20" s="16"/>
    </row>
    <row r="21" customFormat="false" ht="15" hidden="false" customHeight="false" outlineLevel="0" collapsed="false">
      <c r="B21" s="16"/>
      <c r="C21" s="16"/>
      <c r="D21" s="16"/>
      <c r="E21" s="16"/>
      <c r="F21" s="16"/>
      <c r="G21" s="16"/>
    </row>
    <row r="22" customFormat="false" ht="15" hidden="false" customHeight="false" outlineLevel="0" collapsed="false">
      <c r="B22" s="16"/>
      <c r="C22" s="16"/>
      <c r="D22" s="16"/>
      <c r="E22" s="16"/>
      <c r="F22" s="16"/>
      <c r="G22" s="16"/>
    </row>
  </sheetData>
  <mergeCells count="3">
    <mergeCell ref="B4:G4"/>
    <mergeCell ref="B19:G19"/>
    <mergeCell ref="B20: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5" min="3" style="0" width="12"/>
    <col collapsed="false" customWidth="true" hidden="false" outlineLevel="0" max="9" min="6" style="0" width="3"/>
  </cols>
  <sheetData>
    <row r="1" customFormat="false" ht="19.7" hidden="false" customHeight="false" outlineLevel="0" collapsed="false">
      <c r="A1" s="8" t="s">
        <v>220</v>
      </c>
    </row>
    <row r="2" customFormat="false" ht="15" hidden="false" customHeight="false" outlineLevel="0" collapsed="false">
      <c r="A2" s="9" t="s">
        <v>221</v>
      </c>
    </row>
    <row r="4" customFormat="false" ht="21.75" hidden="false" customHeight="true" outlineLevel="0" collapsed="false">
      <c r="B4" s="10" t="s">
        <v>222</v>
      </c>
      <c r="C4" s="10"/>
      <c r="D4" s="10"/>
      <c r="E4" s="10"/>
    </row>
    <row r="5" customFormat="false" ht="15" hidden="false" customHeight="false" outlineLevel="0" collapsed="false">
      <c r="B5" s="31" t="s">
        <v>223</v>
      </c>
      <c r="C5" s="31" t="s">
        <v>224</v>
      </c>
      <c r="D5" s="31" t="s">
        <v>225</v>
      </c>
      <c r="E5" s="31" t="s">
        <v>226</v>
      </c>
    </row>
    <row r="6" customFormat="false" ht="15" hidden="false" customHeight="false" outlineLevel="0" collapsed="false">
      <c r="B6" s="20" t="s">
        <v>227</v>
      </c>
      <c r="C6" s="21" t="n">
        <v>28.04</v>
      </c>
      <c r="D6" s="21" t="n">
        <v>43.99</v>
      </c>
      <c r="E6" s="36" t="n">
        <f aca="false">D6-C6</f>
        <v>15.95</v>
      </c>
    </row>
    <row r="7" customFormat="false" ht="15" hidden="false" customHeight="false" outlineLevel="0" collapsed="false">
      <c r="B7" s="20" t="s">
        <v>228</v>
      </c>
      <c r="C7" s="21" t="n">
        <v>30.9</v>
      </c>
      <c r="D7" s="21" t="n">
        <v>37.76</v>
      </c>
      <c r="E7" s="36" t="n">
        <f aca="false">D7-C7</f>
        <v>6.86</v>
      </c>
    </row>
    <row r="8" customFormat="false" ht="15" hidden="false" customHeight="false" outlineLevel="0" collapsed="false">
      <c r="B8" s="20" t="s">
        <v>229</v>
      </c>
      <c r="C8" s="21" t="n">
        <v>9.6</v>
      </c>
      <c r="D8" s="21" t="n">
        <v>25.15</v>
      </c>
      <c r="E8" s="36" t="n">
        <f aca="false">D8-C8</f>
        <v>15.55</v>
      </c>
    </row>
    <row r="9" customFormat="false" ht="15" hidden="false" customHeight="false" outlineLevel="0" collapsed="false">
      <c r="B9" s="20" t="s">
        <v>230</v>
      </c>
      <c r="C9" s="34" t="n">
        <f aca="false">MIN('Trading Comps'!I17,'Trading Comps'!I18,'Trading Comps'!I19)</f>
        <v>36.5908610372341</v>
      </c>
      <c r="D9" s="34" t="n">
        <f aca="false">MAX('Trading Comps'!I17,'Trading Comps'!I18,'Trading Comps'!I19)</f>
        <v>64.7738744622423</v>
      </c>
      <c r="E9" s="36" t="n">
        <f aca="false">D9-C9</f>
        <v>28.1830134250083</v>
      </c>
    </row>
    <row r="10" customFormat="false" ht="15" hidden="false" customHeight="false" outlineLevel="0" collapsed="false">
      <c r="B10" s="20" t="s">
        <v>231</v>
      </c>
      <c r="C10" s="21" t="n">
        <v>32</v>
      </c>
      <c r="D10" s="21" t="n">
        <v>55</v>
      </c>
      <c r="E10" s="36" t="n">
        <f aca="false">D10-C10</f>
        <v>23</v>
      </c>
    </row>
    <row r="11" customFormat="false" ht="15" hidden="false" customHeight="false" outlineLevel="0" collapsed="false">
      <c r="B11" s="20" t="s">
        <v>232</v>
      </c>
      <c r="C11" s="34" t="n">
        <f aca="false">'Raw Data'!D5</f>
        <v>34.33</v>
      </c>
      <c r="D11" s="34" t="n">
        <f aca="false">'Raw Data'!D5</f>
        <v>34.33</v>
      </c>
      <c r="E11" s="36" t="n">
        <f aca="false">D11-C11</f>
        <v>0</v>
      </c>
    </row>
    <row r="13" customFormat="false" ht="15" hidden="false" customHeight="false" outlineLevel="0" collapsed="false">
      <c r="B13" s="17" t="s">
        <v>233</v>
      </c>
    </row>
    <row r="14" customFormat="false" ht="15" hidden="false" customHeight="false" outlineLevel="0" collapsed="false">
      <c r="B14" s="17" t="s">
        <v>234</v>
      </c>
    </row>
  </sheetData>
  <mergeCells count="1">
    <mergeCell ref="B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4" min="3" style="0" width="14"/>
    <col collapsed="false" customWidth="true" hidden="false" outlineLevel="0" max="5" min="5" style="0" width="3"/>
    <col collapsed="false" customWidth="true" hidden="false" outlineLevel="0" max="6" min="6" style="0" width="22"/>
    <col collapsed="false" customWidth="true" hidden="false" outlineLevel="0" max="7" min="7" style="0" width="16"/>
  </cols>
  <sheetData>
    <row r="2" customFormat="false" ht="22.05" hidden="false" customHeight="false" outlineLevel="0" collapsed="false">
      <c r="B2" s="43" t="s">
        <v>235</v>
      </c>
      <c r="C2" s="43"/>
      <c r="D2" s="43"/>
      <c r="E2" s="43"/>
      <c r="F2" s="43"/>
      <c r="G2" s="43"/>
    </row>
    <row r="3" customFormat="false" ht="15" hidden="false" customHeight="false" outlineLevel="0" collapsed="false">
      <c r="B3" s="44" t="s">
        <v>236</v>
      </c>
      <c r="C3" s="44"/>
      <c r="D3" s="44"/>
      <c r="E3" s="44"/>
      <c r="F3" s="44"/>
      <c r="G3" s="44"/>
    </row>
    <row r="5" customFormat="false" ht="15" hidden="false" customHeight="false" outlineLevel="0" collapsed="false">
      <c r="B5" s="31" t="s">
        <v>237</v>
      </c>
      <c r="C5" s="31" t="s">
        <v>238</v>
      </c>
      <c r="D5" s="31" t="s">
        <v>239</v>
      </c>
      <c r="E5" s="45"/>
      <c r="F5" s="31" t="s">
        <v>24</v>
      </c>
      <c r="G5" s="31" t="s">
        <v>240</v>
      </c>
    </row>
    <row r="6" customFormat="false" ht="24" hidden="false" customHeight="true" outlineLevel="0" collapsed="false">
      <c r="B6" s="46" t="n">
        <f aca="false">'Raw Data'!D5</f>
        <v>34.33</v>
      </c>
      <c r="C6" s="47" t="s">
        <v>241</v>
      </c>
      <c r="D6" s="48" t="n">
        <f aca="false">(41/'Raw Data'!D5)-1</f>
        <v>0.194290707835712</v>
      </c>
      <c r="E6" s="45"/>
      <c r="F6" s="49" t="s">
        <v>242</v>
      </c>
      <c r="G6" s="46" t="n">
        <v>43.8</v>
      </c>
    </row>
    <row r="9" customFormat="false" ht="21.75" hidden="false" customHeight="true" outlineLevel="0" collapsed="false">
      <c r="B9" s="10" t="s">
        <v>243</v>
      </c>
      <c r="C9" s="10"/>
      <c r="D9" s="10"/>
      <c r="E9" s="10"/>
      <c r="F9" s="10"/>
      <c r="G9" s="10"/>
    </row>
    <row r="10" customFormat="false" ht="15" hidden="false" customHeight="false" outlineLevel="0" collapsed="false">
      <c r="B10" s="31" t="s">
        <v>51</v>
      </c>
      <c r="C10" s="31" t="s">
        <v>124</v>
      </c>
    </row>
    <row r="11" customFormat="false" ht="15" hidden="false" customHeight="false" outlineLevel="0" collapsed="false">
      <c r="B11" s="28" t="str">
        <f aca="false">Multiples!B5</f>
        <v>Chipotle Mexican Grill</v>
      </c>
      <c r="C11" s="29" t="n">
        <f aca="false">IF(Multiples!E5="n.m.",0,Multiples!E5)</f>
        <v>19.32856</v>
      </c>
    </row>
    <row r="12" customFormat="false" ht="15" hidden="false" customHeight="false" outlineLevel="0" collapsed="false">
      <c r="B12" s="28" t="str">
        <f aca="false">Multiples!B6</f>
        <v>CAVA Group</v>
      </c>
      <c r="C12" s="29" t="n">
        <f aca="false">IF(Multiples!E6="n.m.",0,Multiples!E6)</f>
        <v>53.2698630136986</v>
      </c>
    </row>
    <row r="13" customFormat="false" ht="15" hidden="false" customHeight="false" outlineLevel="0" collapsed="false">
      <c r="B13" s="28" t="str">
        <f aca="false">Multiples!B7</f>
        <v>Sweetgreen</v>
      </c>
      <c r="C13" s="29" t="n">
        <f aca="false">IF(Multiples!E7="n.m.",0,Multiples!E7)</f>
        <v>0</v>
      </c>
    </row>
    <row r="14" customFormat="false" ht="15" hidden="false" customHeight="false" outlineLevel="0" collapsed="false">
      <c r="B14" s="28" t="str">
        <f aca="false">Multiples!B8</f>
        <v>Shake Shack</v>
      </c>
      <c r="C14" s="29" t="n">
        <f aca="false">IF(Multiples!E8="n.m.",0,Multiples!E8)</f>
        <v>9.65466101694915</v>
      </c>
    </row>
    <row r="15" customFormat="false" ht="15" hidden="false" customHeight="false" outlineLevel="0" collapsed="false">
      <c r="B15" s="28" t="str">
        <f aca="false">Multiples!B9</f>
        <v>Dutch Bros</v>
      </c>
      <c r="C15" s="29" t="n">
        <f aca="false">IF(Multiples!E9="n.m.",0,Multiples!E9)</f>
        <v>32.5006289308176</v>
      </c>
    </row>
    <row r="16" customFormat="false" ht="15" hidden="false" customHeight="false" outlineLevel="0" collapsed="false">
      <c r="B16" s="28" t="str">
        <f aca="false">Multiples!B10</f>
        <v>Wingstop</v>
      </c>
      <c r="C16" s="29" t="n">
        <f aca="false">IF(Multiples!E10="n.m.",0,Multiples!E10)</f>
        <v>37.3310185185185</v>
      </c>
    </row>
    <row r="32" customFormat="false" ht="21.75" hidden="false" customHeight="true" outlineLevel="0" collapsed="false">
      <c r="B32" s="10" t="s">
        <v>244</v>
      </c>
      <c r="C32" s="10"/>
      <c r="D32" s="10"/>
      <c r="E32" s="10"/>
      <c r="F32" s="10"/>
      <c r="G32" s="10"/>
    </row>
    <row r="33" customFormat="false" ht="15" hidden="false" customHeight="true" outlineLevel="0" collapsed="false">
      <c r="B33" s="16" t="s">
        <v>245</v>
      </c>
      <c r="C33" s="16"/>
      <c r="D33" s="16"/>
      <c r="E33" s="16"/>
      <c r="F33" s="16"/>
      <c r="G33" s="16"/>
    </row>
    <row r="34" customFormat="false" ht="15" hidden="false" customHeight="false" outlineLevel="0" collapsed="false">
      <c r="B34" s="16"/>
      <c r="C34" s="16"/>
      <c r="D34" s="16"/>
      <c r="E34" s="16"/>
      <c r="F34" s="16"/>
      <c r="G34" s="16"/>
    </row>
    <row r="35" customFormat="false" ht="15" hidden="false" customHeight="false" outlineLevel="0" collapsed="false">
      <c r="B35" s="16"/>
      <c r="C35" s="16"/>
      <c r="D35" s="16"/>
      <c r="E35" s="16"/>
      <c r="F35" s="16"/>
      <c r="G35" s="16"/>
    </row>
    <row r="36" customFormat="false" ht="15" hidden="false" customHeight="false" outlineLevel="0" collapsed="false">
      <c r="B36" s="16"/>
      <c r="C36" s="16"/>
      <c r="D36" s="16"/>
      <c r="E36" s="16"/>
      <c r="F36" s="16"/>
      <c r="G36" s="16"/>
    </row>
    <row r="37" customFormat="false" ht="15" hidden="false" customHeight="false" outlineLevel="0" collapsed="false">
      <c r="B37" s="16"/>
      <c r="C37" s="16"/>
      <c r="D37" s="16"/>
      <c r="E37" s="16"/>
      <c r="F37" s="16"/>
      <c r="G37" s="16"/>
    </row>
  </sheetData>
  <mergeCells count="5">
    <mergeCell ref="B2:G2"/>
    <mergeCell ref="B3:G3"/>
    <mergeCell ref="B9:G9"/>
    <mergeCell ref="B32:G32"/>
    <mergeCell ref="B33: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2026-08-22T14:11:13Z</dcterms:created>
  <dc:creator>openpyxl</dc:creator>
  <dc:description/>
  <dc:language>en-US</dc:language>
  <cp:lastModifiedBy/>
  <dcterms:modified xsi:type="dcterms:W3CDTF">2026-08-22T14:11:15Z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